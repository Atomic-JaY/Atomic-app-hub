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vals" sheetId="1" state="visible" r:id="rId3"/>
    <sheet name="FE Log" sheetId="2" state="visible" r:id="rId4"/>
    <sheet name="EL Log" sheetId="3" state="visible" r:id="rId5"/>
    <sheet name="EW 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<sst xmlns="http://schemas.openxmlformats.org/spreadsheetml/2006/main" count="290" uniqueCount="219">
  <si>
    <t xml:space="preserve">Inspection Intervals — code reference and single source of truth</t>
  </si>
  <si>
    <t xml:space="preserve">All three log tabs read their intervals from this sheet. Change a value here and every row recalculates. Confirm against the edition your AHJ enforces.</t>
  </si>
  <si>
    <t xml:space="preserve">Recurring checks</t>
  </si>
  <si>
    <t xml:space="preserve">Asset</t>
  </si>
  <si>
    <t xml:space="preserve">Check</t>
  </si>
  <si>
    <t xml:space="preserve">Every</t>
  </si>
  <si>
    <t xml:space="preserve">Unit</t>
  </si>
  <si>
    <t xml:space="preserve">Code reference</t>
  </si>
  <si>
    <t xml:space="preserve">Fire extinguisher</t>
  </si>
  <si>
    <t xml:space="preserve">Monthly inspection</t>
  </si>
  <si>
    <t xml:space="preserve">days</t>
  </si>
  <si>
    <t xml:space="preserve">NFPA 10 — inspection at 30-day intervals; may be done in-house</t>
  </si>
  <si>
    <t xml:space="preserve">Annual maintenance</t>
  </si>
  <si>
    <t xml:space="preserve">months</t>
  </si>
  <si>
    <t xml:space="preserve">NFPA 10 — annual maintenance by a certified technician</t>
  </si>
  <si>
    <t xml:space="preserve">Emergency light</t>
  </si>
  <si>
    <t xml:space="preserve">Monthly function test</t>
  </si>
  <si>
    <t xml:space="preserve">NFPA 101 7.9.3 — 30-day test, minimum 30 seconds</t>
  </si>
  <si>
    <t xml:space="preserve">Annual full-duration test</t>
  </si>
  <si>
    <t xml:space="preserve">NFPA 101 7.9.3 — annual test, 90 minutes on battery</t>
  </si>
  <si>
    <t xml:space="preserve">Eye wash station</t>
  </si>
  <si>
    <t xml:space="preserve">Weekly activation / visual check</t>
  </si>
  <si>
    <t xml:space="preserve">ANSI/ISEA Z358.1 — weekly activation to clear the dead leg and confirm flow</t>
  </si>
  <si>
    <t xml:space="preserve">Annual inspection</t>
  </si>
  <si>
    <t xml:space="preserve">ANSI/ISEA Z358.1 — annual inspection by a competent person, full 15-minute flow</t>
  </si>
  <si>
    <t xml:space="preserve">Extinguisher type → internal examination and hydrostatic test intervals</t>
  </si>
  <si>
    <t xml:space="preserve">Extinguisher type</t>
  </si>
  <si>
    <t xml:space="preserve">Internal exam (years)</t>
  </si>
  <si>
    <t xml:space="preserve">Hydrostatic test (years)</t>
  </si>
  <si>
    <t xml:space="preserve">Dry chemical, stored pressure</t>
  </si>
  <si>
    <t xml:space="preserve">NFPA 10 — stored-pressure units on a 12-year hydro get a 6-year internal exam</t>
  </si>
  <si>
    <t xml:space="preserve">Dry chemical, stainless steel shell</t>
  </si>
  <si>
    <t xml:space="preserve">NFPA 10 — stainless shells hydro at 5 years</t>
  </si>
  <si>
    <t xml:space="preserve">Carbon dioxide (CO2)</t>
  </si>
  <si>
    <t xml:space="preserve">NFPA 10 — CO2 internal and hydro at 5 years</t>
  </si>
  <si>
    <t xml:space="preserve">Water / water mist</t>
  </si>
  <si>
    <t xml:space="preserve">NFPA 10 — pressurized water and water mist hydro at 5 years</t>
  </si>
  <si>
    <t xml:space="preserve">Wet chemical (Class K)</t>
  </si>
  <si>
    <t xml:space="preserve">NFPA 10 — wet chemical internal and hydro at 5 years</t>
  </si>
  <si>
    <t xml:space="preserve">Eye wash type → flushing-fluid replacement</t>
  </si>
  <si>
    <t xml:space="preserve">Eye wash type</t>
  </si>
  <si>
    <t xml:space="preserve">Fluid change (months)</t>
  </si>
  <si>
    <t xml:space="preserve">Note</t>
  </si>
  <si>
    <t xml:space="preserve">Plumbed</t>
  </si>
  <si>
    <t xml:space="preserve">Fed from the water line - no flushing fluid to replace, so 0 = not applicable. The weekly check is a live activation.</t>
  </si>
  <si>
    <t xml:space="preserve">Self-contained (portable)</t>
  </si>
  <si>
    <t xml:space="preserve">Gravity-fed tank - replace the flushing fluid on the manufacturer's schedule. 12 months is the common default; check the label, some require quarterly.</t>
  </si>
  <si>
    <t xml:space="preserve">Personal eye flush bottles (supplemental)</t>
  </si>
  <si>
    <t xml:space="preserve">SUPPLEMENTAL ONLY under ANSI/ISEA Z358.1 - squeeze bottles assist but cannot be the only eyewash at a location, because they cannot deliver 0.4 GPM to both eyes for a full 15 minutes. Replace by the expiry date printed on the bottles.</t>
  </si>
  <si>
    <t xml:space="preserve">Dashboard settings</t>
  </si>
  <si>
    <t xml:space="preserve">Warn "due soon" this many days ahead - monthly and annual checks</t>
  </si>
  <si>
    <t xml:space="preserve">Warn "due soon" this many days ahead - weekly checks</t>
  </si>
  <si>
    <t xml:space="preserve">A weekly check needs a shorter warning window than a monthly one — a 7-day warning on a 7-day interval would show amber every single day.</t>
  </si>
  <si>
    <t xml:space="preserve">Sources: NFPA 10 (portable fire extinguishers), NFPA 101 7.9.3 (emergency lighting) and ANSI/ISEA Z358.1 (emergency eyewash), as summarised by fireinspected.com, the Minnesota Department of Health Life Safety Code guidance, and Haws Co. Confirm the enforced edition before an inspection.</t>
  </si>
  <si>
    <t xml:space="preserve">Fire Extinguisher PM Log — Atomic Industries, 50479 Birch Drive, Shelby Township, MI</t>
  </si>
  <si>
    <t xml:space="preserve">Edit only the yellow cells. NFPA 10 requires four separate checks per extinguisher — a 30-day inspection, annual maintenance, an internal examination and a hydrostatic test. Status and Next Action always report whichever comes due first.</t>
  </si>
  <si>
    <t xml:space="preserve">CONFIRMED BY JOHN GODEK 08/10/2026: UniFirst serviced the 11 tagged units in MARCH 2026, and the cylinder stamps read ZX26 with the collar tags marked 2026, so every unit was manufactured in 2026. Only the year is known, so Mfd Date is set to 01/01/2026 - that makes the internal-exam and hydrostatic checks fall due at the earliest plausible date. Enter a real date in Last Internal Exam or Last Hydro Test and that takes over from the manufacture date automatically. Agent type verified from photos on all 21 units; five are CO2, not dry chemical.</t>
  </si>
  <si>
    <t xml:space="preserve">FE #</t>
  </si>
  <si>
    <t xml:space="preserve">Near Location</t>
  </si>
  <si>
    <t xml:space="preserve">Type</t>
  </si>
  <si>
    <t xml:space="preserve">Mfd Date</t>
  </si>
  <si>
    <t xml:space="preserve">Last Monthly Insp</t>
  </si>
  <si>
    <t xml:space="preserve">Next Monthly Insp</t>
  </si>
  <si>
    <t xml:space="preserve">Last Annual Maint</t>
  </si>
  <si>
    <t xml:space="preserve">Next Annual Maint</t>
  </si>
  <si>
    <t xml:space="preserve">Last Internal Exam</t>
  </si>
  <si>
    <t xml:space="preserve">Next Internal Exam</t>
  </si>
  <si>
    <t xml:space="preserve">Last Hydro Test</t>
  </si>
  <si>
    <t xml:space="preserve">Next Hydro Test</t>
  </si>
  <si>
    <t xml:space="preserve">Next Action</t>
  </si>
  <si>
    <t xml:space="preserve">Days Remaining</t>
  </si>
  <si>
    <t xml:space="preserve">Status</t>
  </si>
  <si>
    <t xml:space="preserve">Notes</t>
  </si>
  <si>
    <t xml:space="preserve">FE1</t>
  </si>
  <si>
    <t xml:space="preserve">Admin Desk / Office Area entrance</t>
  </si>
  <si>
    <t xml:space="preserve">Tag: monthly 5/13, 6/16, 7/23/26 (JB). Year Mfd / Date Installed blank. Photo: front entry vestibule. Gauge green.</t>
  </si>
  <si>
    <t xml:space="preserve">FE2</t>
  </si>
  <si>
    <t xml:space="preserve">IT Room hallway</t>
  </si>
  <si>
    <t xml:space="preserve">Tag: monthly 5/13, 6/16, 7/23/26 (JB). Year Mfd / Date Installed blank. 5 lb CO2, model CO5LB, 5-B:C. Photo: by First Aid station.</t>
  </si>
  <si>
    <t xml:space="preserve">FE3</t>
  </si>
  <si>
    <t xml:space="preserve">Break Room</t>
  </si>
  <si>
    <t xml:space="preserve">Tag: monthly 5/13, 6/16, 7/23/26 (JB). Year Mfd / Date Installed blank. Photo: corridor by exit door. Gauge green.</t>
  </si>
  <si>
    <t xml:space="preserve">FE4</t>
  </si>
  <si>
    <t xml:space="preserve">Training Room</t>
  </si>
  <si>
    <t xml:space="preserve">Tag: monthly 5/13, 6/16, 7/23/26 (JB). Year Mfd / Date Installed blank. Photo: drinking-fountain alcove by Women's restroom.</t>
  </si>
  <si>
    <t xml:space="preserve">FE5</t>
  </si>
  <si>
    <t xml:space="preserve">190 Ton press bay</t>
  </si>
  <si>
    <t xml:space="preserve">Tag: monthly 5/13, 6/16, 7/23/26 (JB). Year Mfd / Date Installed blank. Photo: plant-floor entry under FIRE EXTINGUISHER arrow.</t>
  </si>
  <si>
    <t xml:space="preserve">FE6</t>
  </si>
  <si>
    <t xml:space="preserve">Supervisors area</t>
  </si>
  <si>
    <t xml:space="preserve">Tag: monthly 5/13, 6/16, 7/23/26 (JB). GREEN 2026 SERVICE SEAL on pull pin. Photo: plant-side corridor at conference-room window (AEDs further along).</t>
  </si>
  <si>
    <t xml:space="preserve">FE7</t>
  </si>
  <si>
    <t xml:space="preserve">Office Area (near Warehouse aisle)</t>
  </si>
  <si>
    <t xml:space="preserve">5 lb CO2 (shell stamp). Paper tag present, entries not readable at this angle. Photo: plant-side OFFICE AREA door by the stairs.</t>
  </si>
  <si>
    <t xml:space="preserve">FE8</t>
  </si>
  <si>
    <t xml:space="preserve">Warehouse Area</t>
  </si>
  <si>
    <t xml:space="preserve">Paper tag present, entries not readable at this angle. Photo: warehouse corner by blue pallet stacks.</t>
  </si>
  <si>
    <t xml:space="preserve">FE9</t>
  </si>
  <si>
    <t xml:space="preserve">1400 Ton press bay</t>
  </si>
  <si>
    <t xml:space="preserve">UNIFIRST service tag (month/year punch grid, 2026-2028); punch position not readable in photo. Gauge green. Photo: yellow column on warehouse/racking aisle.</t>
  </si>
  <si>
    <t xml:space="preserve">FE10</t>
  </si>
  <si>
    <t xml:space="preserve">310 Ton press bay</t>
  </si>
  <si>
    <t xml:space="preserve">UNIFIRST service tag (month/year punch grid); punch position not readable in photo. Model PD10JLAL. Photo: press aisle by the LSG 240E machines.</t>
  </si>
  <si>
    <t xml:space="preserve">FE11</t>
  </si>
  <si>
    <t xml:space="preserve">Near 310 Ton bay (south aisle)</t>
  </si>
  <si>
    <t xml:space="preserve">Tag: monthly 5/13, 6/16, 7/23/26 (JB). Victory tag. Photo: workbench corner by the overhead door / laser table.</t>
  </si>
  <si>
    <t xml:space="preserve">FE12</t>
  </si>
  <si>
    <t xml:space="preserve">Warehouse Area (east)</t>
  </si>
  <si>
    <t xml:space="preserve">UNIFIRST punch tag: YEAR CELL PUNCHED = 2026. Month punch present but not legible at this angle. Photo: by the EMERGENCY EXIT ONLY door on the racking aisle.</t>
  </si>
  <si>
    <t xml:space="preserve">FE13</t>
  </si>
  <si>
    <t xml:space="preserve">1000 Ton press bay</t>
  </si>
  <si>
    <t xml:space="preserve">UNIFIRST inspection tag (agent / year grid, 2025-2027). Photo: yellow column with oily-waste can, forklift aisle.</t>
  </si>
  <si>
    <t xml:space="preserve">FE14</t>
  </si>
  <si>
    <t xml:space="preserve">55 Ton press / south aisle</t>
  </si>
  <si>
    <t xml:space="preserve">UNIFIRST punch tag: YEAR CELL PUNCHED = 2026 (hole through the 2026 cell). Month punch not legible. Photo: blue wall by the machines, under the 25-80906C crane.</t>
  </si>
  <si>
    <t xml:space="preserve">FE15</t>
  </si>
  <si>
    <t xml:space="preserve">720 Ton press bay</t>
  </si>
  <si>
    <t xml:space="preserve">UNIFIRST inspection tag (2025-2027 grid). Model PD10LB-AL, 4-A:80-B:C. Photo: yellow column in the resin / racking aisle.</t>
  </si>
  <si>
    <t xml:space="preserve">FE16</t>
  </si>
  <si>
    <t xml:space="preserve">600 Ton press bay</t>
  </si>
  <si>
    <t xml:space="preserve">UNIFIRST tag: MAR cell PUNCHED, agent dot on ABC (DRY CHEM). Photo: yellow post by the LIFEPLUS battery chargers - EYE WASH sign on that column, may be an unlogged station.</t>
  </si>
  <si>
    <t xml:space="preserve">FE17</t>
  </si>
  <si>
    <t xml:space="preserve">Shipping &amp; Receiving</t>
  </si>
  <si>
    <t xml:space="preserve">UNIFIRST tag. Photo: utility alcove - plumbed eyewash, water heater and chemical drum in the same bay, may be an unlogged station.</t>
  </si>
  <si>
    <t xml:space="preserve">FE18</t>
  </si>
  <si>
    <t xml:space="preserve">Central Drying Area</t>
  </si>
  <si>
    <t xml:space="preserve">UNIFIRST tag, gauge green. Photo: by the EXIT door on the ladder / hose-reel aisle.</t>
  </si>
  <si>
    <t xml:space="preserve">FE19</t>
  </si>
  <si>
    <t xml:space="preserve">Loading Dock</t>
  </si>
  <si>
    <t xml:space="preserve">UNIFIRST tag, clearest of the set: MAR cell PUNCHED, agent dot on ABC (DRY CHEM), permit PO1702, tech signature present. Photo: personnel door beside the overhead doors.</t>
  </si>
  <si>
    <t xml:space="preserve">FE20</t>
  </si>
  <si>
    <t xml:space="preserve">Water System / Maintenance Area</t>
  </si>
  <si>
    <t xml:space="preserve">UNIFIRST tag: MAR cell PUNCHED. Photo: EMERGENCY EXIT ONLY door by the air compressors.</t>
  </si>
  <si>
    <t xml:space="preserve">FE21</t>
  </si>
  <si>
    <t xml:space="preserve">Office stairwell (by the conference room) - added to plan 08/10/2026</t>
  </si>
  <si>
    <t xml:space="preserve">Victory monthly tag with THREE handwritten entries - so this unit was already in service and being inspected before 08/10/2026; it was simply absent from the older plan drawing. Dates not readable at the angle shot, so Last Monthly is taken from the building sweep. Gauge green. Photo: mezzanine landing at the top of the stairs, plywood subfloor - area still being finished.</t>
  </si>
  <si>
    <t xml:space="preserve">Dates in mm/dd/yyyy (example: the 07/23/2026 values above). A blank Last date means that check is not tracked and shows NOT LOGGED.</t>
  </si>
  <si>
    <t xml:space="preserve">Source: 07/23/2026 baseline sweep supplied by John Godek, Atomic Industries. FE21 added 08/10/2026 from the marked-up plant layout and has no check history yet. Intervals per NFPA 10 — see the Intervals tab.</t>
  </si>
  <si>
    <t xml:space="preserve">Emergency Light PM Log — Atomic Industries, 50479 Birch Drive, Shelby Township, MI</t>
  </si>
  <si>
    <t xml:space="preserve">Edit only the yellow cells. NFPA 101 7.9.3 requires two separate tests per fixture — a 30-day test held at least 30 seconds, and an annual test held the full 90 minutes on battery.</t>
  </si>
  <si>
    <t xml:space="preserve">RENUMBERED 08/10/2026 per the marked-up plant layout, then EXTENDED to EL23. The "Was" column maps each row back to its previous ID - relabel the physical fixtures to match. EL22 (server room) and EL23 (south aisle, plant side) were found after the renumbering and have no check history yet. Last Annual Test is blank on every fixture.</t>
  </si>
  <si>
    <t xml:space="preserve">EL #</t>
  </si>
  <si>
    <t xml:space="preserve">Was</t>
  </si>
  <si>
    <t xml:space="preserve">Last Monthly Test</t>
  </si>
  <si>
    <t xml:space="preserve">Next Monthly Test</t>
  </si>
  <si>
    <t xml:space="preserve">Last Annual Test</t>
  </si>
  <si>
    <t xml:space="preserve">Next Annual Test</t>
  </si>
  <si>
    <t xml:space="preserve">EL1</t>
  </si>
  <si>
    <t xml:space="preserve">Office Area (west entry)</t>
  </si>
  <si>
    <t xml:space="preserve">EL2</t>
  </si>
  <si>
    <t xml:space="preserve">Admin Desk</t>
  </si>
  <si>
    <t xml:space="preserve">EL3</t>
  </si>
  <si>
    <t xml:space="preserve">Admin Desk / Visitors Office</t>
  </si>
  <si>
    <t xml:space="preserve">EL4</t>
  </si>
  <si>
    <t xml:space="preserve">NEW</t>
  </si>
  <si>
    <t xml:space="preserve">Office 2 / Office 3 corridor</t>
  </si>
  <si>
    <t xml:space="preserve">EL5</t>
  </si>
  <si>
    <t xml:space="preserve">Supervisors / Office 5 Director</t>
  </si>
  <si>
    <t xml:space="preserve">EL6</t>
  </si>
  <si>
    <t xml:space="preserve">EL7</t>
  </si>
  <si>
    <t xml:space="preserve">Quality Manager</t>
  </si>
  <si>
    <t xml:space="preserve">EL8</t>
  </si>
  <si>
    <t xml:space="preserve">Quality Lab</t>
  </si>
  <si>
    <t xml:space="preserve">EL9</t>
  </si>
  <si>
    <t xml:space="preserve">Break Room entrance (office side)</t>
  </si>
  <si>
    <t xml:space="preserve">EL10</t>
  </si>
  <si>
    <t xml:space="preserve">Break Room (inside)</t>
  </si>
  <si>
    <t xml:space="preserve">EL11</t>
  </si>
  <si>
    <t xml:space="preserve">Break Room, leading into the bathroom hallway</t>
  </si>
  <si>
    <t xml:space="preserve">EL12</t>
  </si>
  <si>
    <t xml:space="preserve">By the bathrooms</t>
  </si>
  <si>
    <t xml:space="preserve">EL13</t>
  </si>
  <si>
    <t xml:space="preserve">190 / 240 Ton south aisle</t>
  </si>
  <si>
    <t xml:space="preserve">EL14</t>
  </si>
  <si>
    <t xml:space="preserve">South aisle exit (below 190 Ton)</t>
  </si>
  <si>
    <t xml:space="preserve">EL15</t>
  </si>
  <si>
    <t xml:space="preserve">EL16</t>
  </si>
  <si>
    <t xml:space="preserve">Office Area (north aisle)</t>
  </si>
  <si>
    <t xml:space="preserve">EL17</t>
  </si>
  <si>
    <t xml:space="preserve">EL18</t>
  </si>
  <si>
    <t xml:space="preserve">EL19</t>
  </si>
  <si>
    <t xml:space="preserve">EL20</t>
  </si>
  <si>
    <t xml:space="preserve">Loading Dock / east wall</t>
  </si>
  <si>
    <t xml:space="preserve">EL21</t>
  </si>
  <si>
    <t xml:space="preserve">Water System (east wall)</t>
  </si>
  <si>
    <t xml:space="preserve">EL22</t>
  </si>
  <si>
    <t xml:space="preserve">Server / IT Room (inside the room)</t>
  </si>
  <si>
    <t xml:space="preserve">EL23</t>
  </si>
  <si>
    <t xml:space="preserve">South aisle, plant side of the wall from EL14 (toward the 240 Ton)</t>
  </si>
  <si>
    <t xml:space="preserve">Blue rows are fixtures added 08/10/2026 — they have no check history, so they show NOT LOGGED until you record a test.</t>
  </si>
  <si>
    <t xml:space="preserve">Source: 07/23/2026 baseline sweep supplied by John Godek, Atomic Industries, recorded as the monthly function test. Renumbering and the five new fixtures taken from the plant layout marked up 08/10/2026. Intervals per NFPA 101 7.9.3 — see the Intervals tab.</t>
  </si>
  <si>
    <t xml:space="preserve">Self-testing / self-diagnostic fixtures still require documented annual verification.</t>
  </si>
  <si>
    <t xml:space="preserve">Eye Wash Station PM Log — Atomic Industries, 50479 Birch Drive, Shelby Township, MI</t>
  </si>
  <si>
    <t xml:space="preserve">Edit only the yellow cells. ANSI/ISEA Z358.1 requires a weekly activation (to clear the dead leg and confirm flow) plus an annual inspection by a competent person at full 15-minute flow. Self-contained units also need their flushing fluid replaced on the manufacturer's schedule.</t>
  </si>
  <si>
    <t xml:space="preserve">All four stations photographed and identified 08/10/2026. TWO FINDINGS: (1) the shared tag says "test weekly per ANSI Z358.1" but the entries are 5/13, 6/16, 7/23 - roughly monthly, not weekly, so every station reads OVERDUE below. (2) EW2 at the battery chargers is squeeze bottles only, which Z358.1 treats as supplemental and not a substitute for a real eyewash.</t>
  </si>
  <si>
    <t xml:space="preserve">EW #</t>
  </si>
  <si>
    <t xml:space="preserve">Last Weekly Check</t>
  </si>
  <si>
    <t xml:space="preserve">Next Weekly Check</t>
  </si>
  <si>
    <t xml:space="preserve">Last Annual Inspection</t>
  </si>
  <si>
    <t xml:space="preserve">Next Annual Inspection</t>
  </si>
  <si>
    <t xml:space="preserve">Last Fluid Change</t>
  </si>
  <si>
    <t xml:space="preserve">Next Fluid Change</t>
  </si>
  <si>
    <t xml:space="preserve">EW1</t>
  </si>
  <si>
    <t xml:space="preserve">Plant floor at the blue wall, inside the yellow guardrail</t>
  </si>
  <si>
    <t xml:space="preserve">Shared weekly tag (photographed at EW3) reads 5/13, 5/13, 6/16, 7/23/26 (JB). Plumbed bowl, twin heads, dedicated supply line. Utility sink alongside.</t>
  </si>
  <si>
    <t xml:space="preserve">EW2</t>
  </si>
  <si>
    <t xml:space="preserve">Hi-lo battery charging area, grid cross above the 600 Ton</t>
  </si>
  <si>
    <t xml:space="preserve">Shared weekly tag (photographed at EW3) reads 5/13, 5/13, 6/16, 7/23/26 (JB). NOT A COMPLIANT EYEWASH: two squeeze bottles in a wall bracket, signed as an EMERGENCY EYE WASH STATION. Supplemental only under Z358.1 - needs a plumbed or self-contained unit within 10 seconds of the chargers (battery acid hazard).</t>
  </si>
  <si>
    <t xml:space="preserve">EW3</t>
  </si>
  <si>
    <t xml:space="preserve">Janitor / utility room</t>
  </si>
  <si>
    <t xml:space="preserve">Shared weekly tag (photographed at EW3) reads 5/13, 5/13, 6/16, 7/23/26 (JB). Plumbed bowl with floor drain pan, alongside the mop sink, water heater and the Fury Degreaser drum / dilution station.</t>
  </si>
  <si>
    <t xml:space="preserve">EW4</t>
  </si>
  <si>
    <t xml:space="preserve">Utility sink by the bay door, left of the Water System</t>
  </si>
  <si>
    <t xml:space="preserve">Shared weekly tag (photographed at EW3) reads 5/13, 5/13, 6/16, 7/23/26 (JB). Faucet-mounted swing-down eyewash on the utility sink. Confirm it reaches full flow with the faucet on, and that the sink stays clear.</t>
  </si>
  <si>
    <t xml:space="preserve">Dates in mm/dd/yyyy (for example 08/10/2026). A blank Last date means that check is not tracked and shows NOT LOGGED.</t>
  </si>
  <si>
    <t xml:space="preserve">Source: four stations located from the plant layout marked up 08/10/2026 by John Godek, Atomic Industries. Intervals per ANSI/ISEA Z358.1 — see the Intervals tab. OSHA 29 CFR 1910.151(c) is the underlying US requirement to provide suitable facilities for quick drenching or flushing.</t>
  </si>
  <si>
    <t xml:space="preserve">Z358.1 also expects each station to be reachable within 10 seconds of the hazard, unobstructed, signed, and to deliver tepid fluid (60–100°F) for a full 15 minutes — verify these at the annual inspection.</t>
  </si>
  <si>
    <t xml:space="preserve">RESOLVED: the two eye wash sightings flagged from the extinguisher photos are EW2 (the battery-charger column, near FE16) and EW3 (the utility room, near FE17). There are four stations, not more.</t>
  </si>
  <si>
    <t xml:space="preserve">WEEKLY vs MONTHLY: at a 7-day interval a 07/23 test is already overdue. If the intent is a monthly walk, that does not meet Z358.1 - either move to a weekly activation or take it up with your AHJ. Do not simply widen the interval on the Intervals tab to make the board turn green.</t>
  </si>
</sst>
</file>

<file path=xl/styles.xml><?xml version="1.0" encoding="utf-8"?>
<styleSheet xmlns="http://schemas.openxmlformats.org/spreadsheetml/2006/main">
  <numFmts count="3">
    <numFmt numFmtId="164" formatCode="General"/>
    <numFmt numFmtId="165" formatCode="mm/dd/yyyy"/>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2937"/>
      <name val="Arial"/>
      <family val="0"/>
      <charset val="1"/>
    </font>
    <font>
      <i val="true"/>
      <sz val="9"/>
      <color rgb="FF595959"/>
      <name val="Arial"/>
      <family val="0"/>
      <charset val="1"/>
    </font>
    <font>
      <b val="true"/>
      <sz val="10"/>
      <color rgb="FF1F2937"/>
      <name val="Arial"/>
      <family val="0"/>
      <charset val="1"/>
    </font>
    <font>
      <b val="true"/>
      <sz val="10"/>
      <color rgb="FFFFFFFF"/>
      <name val="Arial"/>
      <family val="0"/>
      <charset val="1"/>
    </font>
    <font>
      <sz val="10"/>
      <color rgb="FF000000"/>
      <name val="Arial"/>
      <family val="0"/>
      <charset val="1"/>
    </font>
    <font>
      <sz val="10"/>
      <color rgb="FF1A1A1A"/>
      <name val="Arial"/>
      <family val="0"/>
      <charset val="1"/>
    </font>
    <font>
      <b val="true"/>
      <i val="true"/>
      <sz val="9"/>
      <color rgb="FF9C0006"/>
      <name val="Arial"/>
      <family val="0"/>
      <charset val="1"/>
    </font>
    <font>
      <i val="true"/>
      <sz val="10"/>
      <color rgb="FF7A7F8C"/>
      <name val="Arial"/>
      <family val="0"/>
      <charset val="1"/>
    </font>
  </fonts>
  <fills count="5">
    <fill>
      <patternFill patternType="none"/>
    </fill>
    <fill>
      <patternFill patternType="gray125"/>
    </fill>
    <fill>
      <patternFill patternType="solid">
        <fgColor rgb="FF1F2937"/>
        <bgColor rgb="FF1A1A1A"/>
      </patternFill>
    </fill>
    <fill>
      <patternFill patternType="solid">
        <fgColor rgb="FFFFF2A8"/>
        <bgColor rgb="FFFFEB9C"/>
      </patternFill>
    </fill>
    <fill>
      <patternFill patternType="solid">
        <fgColor rgb="FFDDEBFF"/>
        <bgColor rgb="FFE4E7E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color rgb="FF006100"/>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
      <font>
        <name val="Arial"/>
        <charset val="1"/>
        <family val="0"/>
        <color rgb="FF5A6072"/>
        <sz val="10"/>
      </font>
      <fill>
        <patternFill>
          <bgColor rgb="FFE4E7E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7A7F8C"/>
      <rgbColor rgb="FF9999FF"/>
      <rgbColor rgb="FF993366"/>
      <rgbColor rgb="FFFFEB9C"/>
      <rgbColor rgb="FFDDEB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7EC"/>
      <rgbColor rgb="FFC6EFCE"/>
      <rgbColor rgb="FFFFF2A8"/>
      <rgbColor rgb="FF99CCFF"/>
      <rgbColor rgb="FFFF99CC"/>
      <rgbColor rgb="FFCC99FF"/>
      <rgbColor rgb="FFFFC7CE"/>
      <rgbColor rgb="FF3366FF"/>
      <rgbColor rgb="FF33CCCC"/>
      <rgbColor rgb="FF99CC00"/>
      <rgbColor rgb="FFFFCC00"/>
      <rgbColor rgb="FFFF9900"/>
      <rgbColor rgb="FFFF6600"/>
      <rgbColor rgb="FF5A6072"/>
      <rgbColor rgb="FF969696"/>
      <rgbColor rgb="FF003366"/>
      <rgbColor rgb="FF339966"/>
      <rgbColor rgb="FF003300"/>
      <rgbColor rgb="FF1A1A1A"/>
      <rgbColor rgb="FF993300"/>
      <rgbColor rgb="FF993366"/>
      <rgbColor rgb="FF59595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4" min="3" style="0" width="12"/>
    <col collapsed="false" customWidth="true" hidden="false" outlineLevel="0" max="5" min="5" style="0" width="6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c r="B4" s="4" t="s">
        <v>4</v>
      </c>
      <c r="C4" s="4" t="s">
        <v>5</v>
      </c>
      <c r="D4" s="4" t="s">
        <v>6</v>
      </c>
      <c r="E4" s="4" t="s">
        <v>7</v>
      </c>
    </row>
    <row r="5" customFormat="false" ht="15" hidden="false" customHeight="false" outlineLevel="0" collapsed="false">
      <c r="A5" s="5" t="s">
        <v>8</v>
      </c>
      <c r="B5" s="5" t="s">
        <v>9</v>
      </c>
      <c r="C5" s="6" t="n">
        <v>30</v>
      </c>
      <c r="D5" s="5" t="s">
        <v>10</v>
      </c>
      <c r="E5" s="5" t="s">
        <v>11</v>
      </c>
    </row>
    <row r="6" customFormat="false" ht="15" hidden="false" customHeight="false" outlineLevel="0" collapsed="false">
      <c r="A6" s="5" t="s">
        <v>8</v>
      </c>
      <c r="B6" s="5" t="s">
        <v>12</v>
      </c>
      <c r="C6" s="6" t="n">
        <v>12</v>
      </c>
      <c r="D6" s="5" t="s">
        <v>13</v>
      </c>
      <c r="E6" s="5" t="s">
        <v>14</v>
      </c>
    </row>
    <row r="7" customFormat="false" ht="15" hidden="false" customHeight="false" outlineLevel="0" collapsed="false">
      <c r="A7" s="5" t="s">
        <v>15</v>
      </c>
      <c r="B7" s="5" t="s">
        <v>16</v>
      </c>
      <c r="C7" s="6" t="n">
        <v>30</v>
      </c>
      <c r="D7" s="5" t="s">
        <v>10</v>
      </c>
      <c r="E7" s="5" t="s">
        <v>17</v>
      </c>
    </row>
    <row r="8" customFormat="false" ht="15" hidden="false" customHeight="false" outlineLevel="0" collapsed="false">
      <c r="A8" s="5" t="s">
        <v>15</v>
      </c>
      <c r="B8" s="5" t="s">
        <v>18</v>
      </c>
      <c r="C8" s="6" t="n">
        <v>12</v>
      </c>
      <c r="D8" s="5" t="s">
        <v>13</v>
      </c>
      <c r="E8" s="5" t="s">
        <v>19</v>
      </c>
    </row>
    <row r="9" customFormat="false" ht="15" hidden="false" customHeight="false" outlineLevel="0" collapsed="false">
      <c r="A9" s="5" t="s">
        <v>20</v>
      </c>
      <c r="B9" s="5" t="s">
        <v>21</v>
      </c>
      <c r="C9" s="6" t="n">
        <v>7</v>
      </c>
      <c r="D9" s="5" t="s">
        <v>10</v>
      </c>
      <c r="E9" s="5" t="s">
        <v>22</v>
      </c>
    </row>
    <row r="10" customFormat="false" ht="15" hidden="false" customHeight="false" outlineLevel="0" collapsed="false">
      <c r="A10" s="5" t="s">
        <v>20</v>
      </c>
      <c r="B10" s="5" t="s">
        <v>23</v>
      </c>
      <c r="C10" s="6" t="n">
        <v>12</v>
      </c>
      <c r="D10" s="5" t="s">
        <v>13</v>
      </c>
      <c r="E10" s="5" t="s">
        <v>24</v>
      </c>
    </row>
    <row r="12" customFormat="false" ht="15" hidden="false" customHeight="false" outlineLevel="0" collapsed="false">
      <c r="A12" s="3" t="s">
        <v>25</v>
      </c>
    </row>
    <row r="13" customFormat="false" ht="23.85" hidden="false" customHeight="false" outlineLevel="0" collapsed="false">
      <c r="A13" s="7" t="s">
        <v>26</v>
      </c>
      <c r="B13" s="7" t="s">
        <v>27</v>
      </c>
      <c r="C13" s="7" t="s">
        <v>28</v>
      </c>
      <c r="D13" s="7" t="s">
        <v>7</v>
      </c>
    </row>
    <row r="14" customFormat="false" ht="15" hidden="false" customHeight="false" outlineLevel="0" collapsed="false">
      <c r="A14" s="5" t="s">
        <v>29</v>
      </c>
      <c r="B14" s="6" t="n">
        <v>6</v>
      </c>
      <c r="C14" s="6" t="n">
        <v>12</v>
      </c>
      <c r="D14" s="5" t="s">
        <v>30</v>
      </c>
    </row>
    <row r="15" customFormat="false" ht="15" hidden="false" customHeight="false" outlineLevel="0" collapsed="false">
      <c r="A15" s="5" t="s">
        <v>31</v>
      </c>
      <c r="B15" s="6" t="n">
        <v>5</v>
      </c>
      <c r="C15" s="6" t="n">
        <v>5</v>
      </c>
      <c r="D15" s="5" t="s">
        <v>32</v>
      </c>
    </row>
    <row r="16" customFormat="false" ht="15" hidden="false" customHeight="false" outlineLevel="0" collapsed="false">
      <c r="A16" s="5" t="s">
        <v>33</v>
      </c>
      <c r="B16" s="6" t="n">
        <v>5</v>
      </c>
      <c r="C16" s="6" t="n">
        <v>5</v>
      </c>
      <c r="D16" s="5" t="s">
        <v>34</v>
      </c>
    </row>
    <row r="17" customFormat="false" ht="15" hidden="false" customHeight="false" outlineLevel="0" collapsed="false">
      <c r="A17" s="5" t="s">
        <v>35</v>
      </c>
      <c r="B17" s="6" t="n">
        <v>5</v>
      </c>
      <c r="C17" s="6" t="n">
        <v>5</v>
      </c>
      <c r="D17" s="5" t="s">
        <v>36</v>
      </c>
    </row>
    <row r="18" customFormat="false" ht="15" hidden="false" customHeight="false" outlineLevel="0" collapsed="false">
      <c r="A18" s="5" t="s">
        <v>37</v>
      </c>
      <c r="B18" s="6" t="n">
        <v>5</v>
      </c>
      <c r="C18" s="6" t="n">
        <v>5</v>
      </c>
      <c r="D18" s="5" t="s">
        <v>38</v>
      </c>
    </row>
    <row r="20" customFormat="false" ht="15" hidden="false" customHeight="false" outlineLevel="0" collapsed="false">
      <c r="A20" s="3" t="s">
        <v>39</v>
      </c>
    </row>
    <row r="21" customFormat="false" ht="15" hidden="false" customHeight="false" outlineLevel="0" collapsed="false">
      <c r="A21" s="7" t="s">
        <v>40</v>
      </c>
      <c r="B21" s="7" t="s">
        <v>41</v>
      </c>
      <c r="C21" s="7" t="s">
        <v>42</v>
      </c>
    </row>
    <row r="22" customFormat="false" ht="15" hidden="false" customHeight="false" outlineLevel="0" collapsed="false">
      <c r="A22" s="5" t="s">
        <v>43</v>
      </c>
      <c r="B22" s="6" t="n">
        <v>0</v>
      </c>
      <c r="C22" s="5" t="s">
        <v>44</v>
      </c>
    </row>
    <row r="23" customFormat="false" ht="15" hidden="false" customHeight="false" outlineLevel="0" collapsed="false">
      <c r="A23" s="5" t="s">
        <v>45</v>
      </c>
      <c r="B23" s="6" t="n">
        <v>12</v>
      </c>
      <c r="C23" s="5" t="s">
        <v>46</v>
      </c>
    </row>
    <row r="24" customFormat="false" ht="15" hidden="false" customHeight="false" outlineLevel="0" collapsed="false">
      <c r="A24" s="5" t="s">
        <v>47</v>
      </c>
      <c r="B24" s="6" t="n">
        <v>12</v>
      </c>
      <c r="C24" s="5" t="s">
        <v>48</v>
      </c>
    </row>
    <row r="26" customFormat="false" ht="15" hidden="false" customHeight="false" outlineLevel="0" collapsed="false">
      <c r="A26" s="3" t="s">
        <v>49</v>
      </c>
    </row>
    <row r="27" customFormat="false" ht="15" hidden="false" customHeight="false" outlineLevel="0" collapsed="false">
      <c r="A27" s="8" t="s">
        <v>50</v>
      </c>
      <c r="C27" s="6" t="n">
        <v>7</v>
      </c>
    </row>
    <row r="28" customFormat="false" ht="15" hidden="false" customHeight="false" outlineLevel="0" collapsed="false">
      <c r="A28" s="8" t="s">
        <v>51</v>
      </c>
      <c r="C28" s="6" t="n">
        <v>2</v>
      </c>
    </row>
    <row r="29" customFormat="false" ht="15" hidden="false" customHeight="false" outlineLevel="0" collapsed="false">
      <c r="A29" s="2" t="s">
        <v>52</v>
      </c>
    </row>
    <row r="31" customFormat="false" ht="15" hidden="false" customHeight="false" outlineLevel="0" collapsed="false">
      <c r="A31" s="2"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6"/>
    <col collapsed="false" customWidth="true" hidden="false" outlineLevel="0" max="4" min="4" style="0" width="11"/>
    <col collapsed="false" customWidth="true" hidden="false" outlineLevel="0" max="12" min="5" style="0" width="12"/>
    <col collapsed="false" customWidth="true" hidden="false" outlineLevel="0" max="13" min="13" style="0" width="19"/>
    <col collapsed="false" customWidth="true" hidden="false" outlineLevel="0" max="14" min="14" style="0" width="10"/>
    <col collapsed="false" customWidth="true" hidden="false" outlineLevel="0" max="15" min="15" style="0" width="13"/>
    <col collapsed="false" customWidth="true" hidden="false" outlineLevel="0" max="16" min="16" style="0" width="26"/>
  </cols>
  <sheetData>
    <row r="1" customFormat="false" ht="17.35" hidden="false" customHeight="false" outlineLevel="0" collapsed="false">
      <c r="A1" s="9" t="s">
        <v>54</v>
      </c>
      <c r="B1" s="9"/>
      <c r="C1" s="9"/>
      <c r="D1" s="9"/>
      <c r="E1" s="9"/>
      <c r="F1" s="9"/>
      <c r="G1" s="9"/>
      <c r="H1" s="9"/>
      <c r="I1" s="9"/>
      <c r="J1" s="9"/>
      <c r="K1" s="9"/>
      <c r="L1" s="9"/>
      <c r="M1" s="9"/>
      <c r="N1" s="9"/>
      <c r="O1" s="9"/>
      <c r="P1" s="9"/>
    </row>
    <row r="2" customFormat="false" ht="25.5" hidden="false" customHeight="true" outlineLevel="0" collapsed="false">
      <c r="A2" s="10" t="s">
        <v>55</v>
      </c>
      <c r="B2" s="10"/>
      <c r="C2" s="10"/>
      <c r="D2" s="10"/>
      <c r="E2" s="10"/>
      <c r="F2" s="10"/>
      <c r="G2" s="10"/>
      <c r="H2" s="10"/>
      <c r="I2" s="10"/>
      <c r="J2" s="10"/>
      <c r="K2" s="10"/>
      <c r="L2" s="10"/>
      <c r="M2" s="10"/>
      <c r="N2" s="10"/>
      <c r="O2" s="10"/>
      <c r="P2" s="10"/>
    </row>
    <row r="3" customFormat="false" ht="25.5" hidden="false" customHeight="true" outlineLevel="0" collapsed="false">
      <c r="A3" s="11" t="s">
        <v>56</v>
      </c>
      <c r="B3" s="11"/>
      <c r="C3" s="11"/>
      <c r="D3" s="11"/>
      <c r="E3" s="11"/>
      <c r="F3" s="11"/>
      <c r="G3" s="11"/>
      <c r="H3" s="11"/>
      <c r="I3" s="11"/>
      <c r="J3" s="11"/>
      <c r="K3" s="11"/>
      <c r="L3" s="11"/>
      <c r="M3" s="11"/>
      <c r="N3" s="11"/>
      <c r="O3" s="11"/>
      <c r="P3" s="11"/>
    </row>
    <row r="5" customFormat="false" ht="33.75" hidden="false" customHeight="true" outlineLevel="0" collapsed="false">
      <c r="A5" s="12" t="s">
        <v>57</v>
      </c>
      <c r="B5" s="12" t="s">
        <v>58</v>
      </c>
      <c r="C5" s="12" t="s">
        <v>59</v>
      </c>
      <c r="D5" s="12" t="s">
        <v>60</v>
      </c>
      <c r="E5" s="12" t="s">
        <v>61</v>
      </c>
      <c r="F5" s="12" t="s">
        <v>62</v>
      </c>
      <c r="G5" s="12" t="s">
        <v>63</v>
      </c>
      <c r="H5" s="12" t="s">
        <v>64</v>
      </c>
      <c r="I5" s="12" t="s">
        <v>65</v>
      </c>
      <c r="J5" s="12" t="s">
        <v>66</v>
      </c>
      <c r="K5" s="12" t="s">
        <v>67</v>
      </c>
      <c r="L5" s="12" t="s">
        <v>68</v>
      </c>
      <c r="M5" s="12" t="s">
        <v>69</v>
      </c>
      <c r="N5" s="12" t="s">
        <v>70</v>
      </c>
      <c r="O5" s="12" t="s">
        <v>71</v>
      </c>
      <c r="P5" s="12" t="s">
        <v>72</v>
      </c>
    </row>
    <row r="6" customFormat="false" ht="15" hidden="false" customHeight="false" outlineLevel="0" collapsed="false">
      <c r="A6" s="13" t="s">
        <v>73</v>
      </c>
      <c r="B6" s="5" t="s">
        <v>74</v>
      </c>
      <c r="C6" s="14" t="s">
        <v>29</v>
      </c>
      <c r="D6" s="15" t="n">
        <v>46023</v>
      </c>
      <c r="E6" s="15" t="n">
        <v>46226</v>
      </c>
      <c r="F6" s="16" t="n">
        <f aca="false">IF($E6="","",$E6+Intervals!$C$5)</f>
        <v>46256</v>
      </c>
      <c r="G6" s="15"/>
      <c r="H6" s="16" t="str">
        <f aca="false">IF($G6="","",EDATE($G6,Intervals!$C$6))</f>
        <v/>
      </c>
      <c r="I6" s="15"/>
      <c r="J6" s="16" t="n">
        <f aca="false">IF($C6="","",IF(AND($I6="",$D6=""),"",EDATE(IF($I6="",$D6,$I6),12*INDEX(Intervals!$B$14:$B$18,MATCH($C6,Intervals!$A$14:$A$18,0)))))</f>
        <v>48214</v>
      </c>
      <c r="K6" s="15"/>
      <c r="L6" s="16" t="n">
        <f aca="false">IF($C6="","",IF(AND($K6="",$D6=""),"",EDATE(IF($K6="",$D6,$K6),12*INDEX(Intervals!$C$14:$C$18,MATCH($C6,Intervals!$A$14:$A$18,0)))))</f>
        <v>50406</v>
      </c>
      <c r="M6" s="5" t="str">
        <f aca="false">IF(COUNT($F6,$H6,$J6,$L6)=0,"—",IF(MIN($F6,$H6,$J6,$L6)=$F6,"Monthly inspection",IF(MIN($F6,$H6,$J6,$L6)=$H6,"Annual maintenance",IF(MIN($F6,$H6,$J6,$L6)=$J6,"Internal exam","Hydrostatic test"))))</f>
        <v>Monthly inspection</v>
      </c>
      <c r="N6" s="17" t="n">
        <f aca="true">IF(COUNT($F6,$H6,$J6,$L6)=0,"",MIN($F6,$H6,$J6,$L6)-TODAY())</f>
        <v>11</v>
      </c>
      <c r="O6" s="13" t="str">
        <f aca="false">IF($N6="","NOT LOGGED",IF($N6&lt;=0,"OVERDUE",IF($N6&lt;=Intervals!$C$27,"DUE SOON","OK")))</f>
        <v>OK</v>
      </c>
      <c r="P6" s="14" t="s">
        <v>75</v>
      </c>
    </row>
    <row r="7" customFormat="false" ht="15" hidden="false" customHeight="false" outlineLevel="0" collapsed="false">
      <c r="A7" s="13" t="s">
        <v>76</v>
      </c>
      <c r="B7" s="5" t="s">
        <v>77</v>
      </c>
      <c r="C7" s="14" t="s">
        <v>33</v>
      </c>
      <c r="D7" s="15" t="n">
        <v>46023</v>
      </c>
      <c r="E7" s="15" t="n">
        <v>46226</v>
      </c>
      <c r="F7" s="16" t="n">
        <f aca="false">IF($E7="","",$E7+Intervals!$C$5)</f>
        <v>46256</v>
      </c>
      <c r="G7" s="15"/>
      <c r="H7" s="16" t="str">
        <f aca="false">IF($G7="","",EDATE($G7,Intervals!$C$6))</f>
        <v/>
      </c>
      <c r="I7" s="15"/>
      <c r="J7" s="16" t="n">
        <f aca="false">IF($C7="","",IF(AND($I7="",$D7=""),"",EDATE(IF($I7="",$D7,$I7),12*INDEX(Intervals!$B$14:$B$18,MATCH($C7,Intervals!$A$14:$A$18,0)))))</f>
        <v>47849</v>
      </c>
      <c r="K7" s="15"/>
      <c r="L7" s="16" t="n">
        <f aca="false">IF($C7="","",IF(AND($K7="",$D7=""),"",EDATE(IF($K7="",$D7,$K7),12*INDEX(Intervals!$C$14:$C$18,MATCH($C7,Intervals!$A$14:$A$18,0)))))</f>
        <v>47849</v>
      </c>
      <c r="M7" s="5" t="str">
        <f aca="false">IF(COUNT($F7,$H7,$J7,$L7)=0,"—",IF(MIN($F7,$H7,$J7,$L7)=$F7,"Monthly inspection",IF(MIN($F7,$H7,$J7,$L7)=$H7,"Annual maintenance",IF(MIN($F7,$H7,$J7,$L7)=$J7,"Internal exam","Hydrostatic test"))))</f>
        <v>Monthly inspection</v>
      </c>
      <c r="N7" s="17" t="n">
        <f aca="true">IF(COUNT($F7,$H7,$J7,$L7)=0,"",MIN($F7,$H7,$J7,$L7)-TODAY())</f>
        <v>11</v>
      </c>
      <c r="O7" s="13" t="str">
        <f aca="false">IF($N7="","NOT LOGGED",IF($N7&lt;=0,"OVERDUE",IF($N7&lt;=Intervals!$C$27,"DUE SOON","OK")))</f>
        <v>OK</v>
      </c>
      <c r="P7" s="14" t="s">
        <v>78</v>
      </c>
    </row>
    <row r="8" customFormat="false" ht="15" hidden="false" customHeight="false" outlineLevel="0" collapsed="false">
      <c r="A8" s="13" t="s">
        <v>79</v>
      </c>
      <c r="B8" s="5" t="s">
        <v>80</v>
      </c>
      <c r="C8" s="14" t="s">
        <v>29</v>
      </c>
      <c r="D8" s="15" t="n">
        <v>46023</v>
      </c>
      <c r="E8" s="15" t="n">
        <v>46226</v>
      </c>
      <c r="F8" s="16" t="n">
        <f aca="false">IF($E8="","",$E8+Intervals!$C$5)</f>
        <v>46256</v>
      </c>
      <c r="G8" s="15"/>
      <c r="H8" s="16" t="str">
        <f aca="false">IF($G8="","",EDATE($G8,Intervals!$C$6))</f>
        <v/>
      </c>
      <c r="I8" s="15"/>
      <c r="J8" s="16" t="n">
        <f aca="false">IF($C8="","",IF(AND($I8="",$D8=""),"",EDATE(IF($I8="",$D8,$I8),12*INDEX(Intervals!$B$14:$B$18,MATCH($C8,Intervals!$A$14:$A$18,0)))))</f>
        <v>48214</v>
      </c>
      <c r="K8" s="15"/>
      <c r="L8" s="16" t="n">
        <f aca="false">IF($C8="","",IF(AND($K8="",$D8=""),"",EDATE(IF($K8="",$D8,$K8),12*INDEX(Intervals!$C$14:$C$18,MATCH($C8,Intervals!$A$14:$A$18,0)))))</f>
        <v>50406</v>
      </c>
      <c r="M8" s="5" t="str">
        <f aca="false">IF(COUNT($F8,$H8,$J8,$L8)=0,"—",IF(MIN($F8,$H8,$J8,$L8)=$F8,"Monthly inspection",IF(MIN($F8,$H8,$J8,$L8)=$H8,"Annual maintenance",IF(MIN($F8,$H8,$J8,$L8)=$J8,"Internal exam","Hydrostatic test"))))</f>
        <v>Monthly inspection</v>
      </c>
      <c r="N8" s="17" t="n">
        <f aca="true">IF(COUNT($F8,$H8,$J8,$L8)=0,"",MIN($F8,$H8,$J8,$L8)-TODAY())</f>
        <v>11</v>
      </c>
      <c r="O8" s="13" t="str">
        <f aca="false">IF($N8="","NOT LOGGED",IF($N8&lt;=0,"OVERDUE",IF($N8&lt;=Intervals!$C$27,"DUE SOON","OK")))</f>
        <v>OK</v>
      </c>
      <c r="P8" s="14" t="s">
        <v>81</v>
      </c>
    </row>
    <row r="9" customFormat="false" ht="15" hidden="false" customHeight="false" outlineLevel="0" collapsed="false">
      <c r="A9" s="13" t="s">
        <v>82</v>
      </c>
      <c r="B9" s="5" t="s">
        <v>83</v>
      </c>
      <c r="C9" s="14" t="s">
        <v>33</v>
      </c>
      <c r="D9" s="15" t="n">
        <v>46023</v>
      </c>
      <c r="E9" s="15" t="n">
        <v>46226</v>
      </c>
      <c r="F9" s="16" t="n">
        <f aca="false">IF($E9="","",$E9+Intervals!$C$5)</f>
        <v>46256</v>
      </c>
      <c r="G9" s="15"/>
      <c r="H9" s="16" t="str">
        <f aca="false">IF($G9="","",EDATE($G9,Intervals!$C$6))</f>
        <v/>
      </c>
      <c r="I9" s="15"/>
      <c r="J9" s="16" t="n">
        <f aca="false">IF($C9="","",IF(AND($I9="",$D9=""),"",EDATE(IF($I9="",$D9,$I9),12*INDEX(Intervals!$B$14:$B$18,MATCH($C9,Intervals!$A$14:$A$18,0)))))</f>
        <v>47849</v>
      </c>
      <c r="K9" s="15"/>
      <c r="L9" s="16" t="n">
        <f aca="false">IF($C9="","",IF(AND($K9="",$D9=""),"",EDATE(IF($K9="",$D9,$K9),12*INDEX(Intervals!$C$14:$C$18,MATCH($C9,Intervals!$A$14:$A$18,0)))))</f>
        <v>47849</v>
      </c>
      <c r="M9" s="5" t="str">
        <f aca="false">IF(COUNT($F9,$H9,$J9,$L9)=0,"—",IF(MIN($F9,$H9,$J9,$L9)=$F9,"Monthly inspection",IF(MIN($F9,$H9,$J9,$L9)=$H9,"Annual maintenance",IF(MIN($F9,$H9,$J9,$L9)=$J9,"Internal exam","Hydrostatic test"))))</f>
        <v>Monthly inspection</v>
      </c>
      <c r="N9" s="17" t="n">
        <f aca="true">IF(COUNT($F9,$H9,$J9,$L9)=0,"",MIN($F9,$H9,$J9,$L9)-TODAY())</f>
        <v>11</v>
      </c>
      <c r="O9" s="13" t="str">
        <f aca="false">IF($N9="","NOT LOGGED",IF($N9&lt;=0,"OVERDUE",IF($N9&lt;=Intervals!$C$27,"DUE SOON","OK")))</f>
        <v>OK</v>
      </c>
      <c r="P9" s="14" t="s">
        <v>84</v>
      </c>
    </row>
    <row r="10" customFormat="false" ht="15" hidden="false" customHeight="false" outlineLevel="0" collapsed="false">
      <c r="A10" s="13" t="s">
        <v>85</v>
      </c>
      <c r="B10" s="5" t="s">
        <v>86</v>
      </c>
      <c r="C10" s="14" t="s">
        <v>33</v>
      </c>
      <c r="D10" s="15" t="n">
        <v>46023</v>
      </c>
      <c r="E10" s="15" t="n">
        <v>46226</v>
      </c>
      <c r="F10" s="16" t="n">
        <f aca="false">IF($E10="","",$E10+Intervals!$C$5)</f>
        <v>46256</v>
      </c>
      <c r="G10" s="15"/>
      <c r="H10" s="16" t="str">
        <f aca="false">IF($G10="","",EDATE($G10,Intervals!$C$6))</f>
        <v/>
      </c>
      <c r="I10" s="15"/>
      <c r="J10" s="16" t="n">
        <f aca="false">IF($C10="","",IF(AND($I10="",$D10=""),"",EDATE(IF($I10="",$D10,$I10),12*INDEX(Intervals!$B$14:$B$18,MATCH($C10,Intervals!$A$14:$A$18,0)))))</f>
        <v>47849</v>
      </c>
      <c r="K10" s="15"/>
      <c r="L10" s="16" t="n">
        <f aca="false">IF($C10="","",IF(AND($K10="",$D10=""),"",EDATE(IF($K10="",$D10,$K10),12*INDEX(Intervals!$C$14:$C$18,MATCH($C10,Intervals!$A$14:$A$18,0)))))</f>
        <v>47849</v>
      </c>
      <c r="M10" s="5" t="str">
        <f aca="false">IF(COUNT($F10,$H10,$J10,$L10)=0,"—",IF(MIN($F10,$H10,$J10,$L10)=$F10,"Monthly inspection",IF(MIN($F10,$H10,$J10,$L10)=$H10,"Annual maintenance",IF(MIN($F10,$H10,$J10,$L10)=$J10,"Internal exam","Hydrostatic test"))))</f>
        <v>Monthly inspection</v>
      </c>
      <c r="N10" s="17" t="n">
        <f aca="true">IF(COUNT($F10,$H10,$J10,$L10)=0,"",MIN($F10,$H10,$J10,$L10)-TODAY())</f>
        <v>11</v>
      </c>
      <c r="O10" s="13" t="str">
        <f aca="false">IF($N10="","NOT LOGGED",IF($N10&lt;=0,"OVERDUE",IF($N10&lt;=Intervals!$C$27,"DUE SOON","OK")))</f>
        <v>OK</v>
      </c>
      <c r="P10" s="14" t="s">
        <v>87</v>
      </c>
    </row>
    <row r="11" customFormat="false" ht="15" hidden="false" customHeight="false" outlineLevel="0" collapsed="false">
      <c r="A11" s="13" t="s">
        <v>88</v>
      </c>
      <c r="B11" s="5" t="s">
        <v>89</v>
      </c>
      <c r="C11" s="14" t="s">
        <v>33</v>
      </c>
      <c r="D11" s="15" t="n">
        <v>46023</v>
      </c>
      <c r="E11" s="15" t="n">
        <v>46226</v>
      </c>
      <c r="F11" s="16" t="n">
        <f aca="false">IF($E11="","",$E11+Intervals!$C$5)</f>
        <v>46256</v>
      </c>
      <c r="G11" s="15"/>
      <c r="H11" s="16" t="str">
        <f aca="false">IF($G11="","",EDATE($G11,Intervals!$C$6))</f>
        <v/>
      </c>
      <c r="I11" s="15"/>
      <c r="J11" s="16" t="n">
        <f aca="false">IF($C11="","",IF(AND($I11="",$D11=""),"",EDATE(IF($I11="",$D11,$I11),12*INDEX(Intervals!$B$14:$B$18,MATCH($C11,Intervals!$A$14:$A$18,0)))))</f>
        <v>47849</v>
      </c>
      <c r="K11" s="15"/>
      <c r="L11" s="16" t="n">
        <f aca="false">IF($C11="","",IF(AND($K11="",$D11=""),"",EDATE(IF($K11="",$D11,$K11),12*INDEX(Intervals!$C$14:$C$18,MATCH($C11,Intervals!$A$14:$A$18,0)))))</f>
        <v>47849</v>
      </c>
      <c r="M11" s="5" t="str">
        <f aca="false">IF(COUNT($F11,$H11,$J11,$L11)=0,"—",IF(MIN($F11,$H11,$J11,$L11)=$F11,"Monthly inspection",IF(MIN($F11,$H11,$J11,$L11)=$H11,"Annual maintenance",IF(MIN($F11,$H11,$J11,$L11)=$J11,"Internal exam","Hydrostatic test"))))</f>
        <v>Monthly inspection</v>
      </c>
      <c r="N11" s="17" t="n">
        <f aca="true">IF(COUNT($F11,$H11,$J11,$L11)=0,"",MIN($F11,$H11,$J11,$L11)-TODAY())</f>
        <v>11</v>
      </c>
      <c r="O11" s="13" t="str">
        <f aca="false">IF($N11="","NOT LOGGED",IF($N11&lt;=0,"OVERDUE",IF($N11&lt;=Intervals!$C$27,"DUE SOON","OK")))</f>
        <v>OK</v>
      </c>
      <c r="P11" s="14" t="s">
        <v>90</v>
      </c>
    </row>
    <row r="12" customFormat="false" ht="15" hidden="false" customHeight="false" outlineLevel="0" collapsed="false">
      <c r="A12" s="13" t="s">
        <v>91</v>
      </c>
      <c r="B12" s="5" t="s">
        <v>92</v>
      </c>
      <c r="C12" s="14" t="s">
        <v>33</v>
      </c>
      <c r="D12" s="15" t="n">
        <v>46023</v>
      </c>
      <c r="E12" s="15" t="n">
        <v>46226</v>
      </c>
      <c r="F12" s="16" t="n">
        <f aca="false">IF($E12="","",$E12+Intervals!$C$5)</f>
        <v>46256</v>
      </c>
      <c r="G12" s="15"/>
      <c r="H12" s="16" t="str">
        <f aca="false">IF($G12="","",EDATE($G12,Intervals!$C$6))</f>
        <v/>
      </c>
      <c r="I12" s="15"/>
      <c r="J12" s="16" t="n">
        <f aca="false">IF($C12="","",IF(AND($I12="",$D12=""),"",EDATE(IF($I12="",$D12,$I12),12*INDEX(Intervals!$B$14:$B$18,MATCH($C12,Intervals!$A$14:$A$18,0)))))</f>
        <v>47849</v>
      </c>
      <c r="K12" s="15"/>
      <c r="L12" s="16" t="n">
        <f aca="false">IF($C12="","",IF(AND($K12="",$D12=""),"",EDATE(IF($K12="",$D12,$K12),12*INDEX(Intervals!$C$14:$C$18,MATCH($C12,Intervals!$A$14:$A$18,0)))))</f>
        <v>47849</v>
      </c>
      <c r="M12" s="5" t="str">
        <f aca="false">IF(COUNT($F12,$H12,$J12,$L12)=0,"—",IF(MIN($F12,$H12,$J12,$L12)=$F12,"Monthly inspection",IF(MIN($F12,$H12,$J12,$L12)=$H12,"Annual maintenance",IF(MIN($F12,$H12,$J12,$L12)=$J12,"Internal exam","Hydrostatic test"))))</f>
        <v>Monthly inspection</v>
      </c>
      <c r="N12" s="17" t="n">
        <f aca="true">IF(COUNT($F12,$H12,$J12,$L12)=0,"",MIN($F12,$H12,$J12,$L12)-TODAY())</f>
        <v>11</v>
      </c>
      <c r="O12" s="13" t="str">
        <f aca="false">IF($N12="","NOT LOGGED",IF($N12&lt;=0,"OVERDUE",IF($N12&lt;=Intervals!$C$27,"DUE SOON","OK")))</f>
        <v>OK</v>
      </c>
      <c r="P12" s="14" t="s">
        <v>93</v>
      </c>
    </row>
    <row r="13" customFormat="false" ht="15" hidden="false" customHeight="false" outlineLevel="0" collapsed="false">
      <c r="A13" s="13" t="s">
        <v>94</v>
      </c>
      <c r="B13" s="5" t="s">
        <v>95</v>
      </c>
      <c r="C13" s="14" t="s">
        <v>29</v>
      </c>
      <c r="D13" s="15" t="n">
        <v>46023</v>
      </c>
      <c r="E13" s="15" t="n">
        <v>46226</v>
      </c>
      <c r="F13" s="16" t="n">
        <f aca="false">IF($E13="","",$E13+Intervals!$C$5)</f>
        <v>46256</v>
      </c>
      <c r="G13" s="15"/>
      <c r="H13" s="16" t="str">
        <f aca="false">IF($G13="","",EDATE($G13,Intervals!$C$6))</f>
        <v/>
      </c>
      <c r="I13" s="15"/>
      <c r="J13" s="16" t="n">
        <f aca="false">IF($C13="","",IF(AND($I13="",$D13=""),"",EDATE(IF($I13="",$D13,$I13),12*INDEX(Intervals!$B$14:$B$18,MATCH($C13,Intervals!$A$14:$A$18,0)))))</f>
        <v>48214</v>
      </c>
      <c r="K13" s="15"/>
      <c r="L13" s="16" t="n">
        <f aca="false">IF($C13="","",IF(AND($K13="",$D13=""),"",EDATE(IF($K13="",$D13,$K13),12*INDEX(Intervals!$C$14:$C$18,MATCH($C13,Intervals!$A$14:$A$18,0)))))</f>
        <v>50406</v>
      </c>
      <c r="M13" s="5" t="str">
        <f aca="false">IF(COUNT($F13,$H13,$J13,$L13)=0,"—",IF(MIN($F13,$H13,$J13,$L13)=$F13,"Monthly inspection",IF(MIN($F13,$H13,$J13,$L13)=$H13,"Annual maintenance",IF(MIN($F13,$H13,$J13,$L13)=$J13,"Internal exam","Hydrostatic test"))))</f>
        <v>Monthly inspection</v>
      </c>
      <c r="N13" s="17" t="n">
        <f aca="true">IF(COUNT($F13,$H13,$J13,$L13)=0,"",MIN($F13,$H13,$J13,$L13)-TODAY())</f>
        <v>11</v>
      </c>
      <c r="O13" s="13" t="str">
        <f aca="false">IF($N13="","NOT LOGGED",IF($N13&lt;=0,"OVERDUE",IF($N13&lt;=Intervals!$C$27,"DUE SOON","OK")))</f>
        <v>OK</v>
      </c>
      <c r="P13" s="14" t="s">
        <v>96</v>
      </c>
    </row>
    <row r="14" customFormat="false" ht="15" hidden="false" customHeight="false" outlineLevel="0" collapsed="false">
      <c r="A14" s="13" t="s">
        <v>97</v>
      </c>
      <c r="B14" s="5" t="s">
        <v>98</v>
      </c>
      <c r="C14" s="14" t="s">
        <v>29</v>
      </c>
      <c r="D14" s="15" t="n">
        <v>46023</v>
      </c>
      <c r="E14" s="15" t="n">
        <v>46226</v>
      </c>
      <c r="F14" s="16" t="n">
        <f aca="false">IF($E14="","",$E14+Intervals!$C$5)</f>
        <v>46256</v>
      </c>
      <c r="G14" s="15" t="n">
        <v>46082</v>
      </c>
      <c r="H14" s="16" t="n">
        <f aca="false">IF($G14="","",EDATE($G14,Intervals!$C$6))</f>
        <v>46447</v>
      </c>
      <c r="I14" s="15"/>
      <c r="J14" s="16" t="n">
        <f aca="false">IF($C14="","",IF(AND($I14="",$D14=""),"",EDATE(IF($I14="",$D14,$I14),12*INDEX(Intervals!$B$14:$B$18,MATCH($C14,Intervals!$A$14:$A$18,0)))))</f>
        <v>48214</v>
      </c>
      <c r="K14" s="15"/>
      <c r="L14" s="16" t="n">
        <f aca="false">IF($C14="","",IF(AND($K14="",$D14=""),"",EDATE(IF($K14="",$D14,$K14),12*INDEX(Intervals!$C$14:$C$18,MATCH($C14,Intervals!$A$14:$A$18,0)))))</f>
        <v>50406</v>
      </c>
      <c r="M14" s="5" t="str">
        <f aca="false">IF(COUNT($F14,$H14,$J14,$L14)=0,"—",IF(MIN($F14,$H14,$J14,$L14)=$F14,"Monthly inspection",IF(MIN($F14,$H14,$J14,$L14)=$H14,"Annual maintenance",IF(MIN($F14,$H14,$J14,$L14)=$J14,"Internal exam","Hydrostatic test"))))</f>
        <v>Monthly inspection</v>
      </c>
      <c r="N14" s="17" t="n">
        <f aca="true">IF(COUNT($F14,$H14,$J14,$L14)=0,"",MIN($F14,$H14,$J14,$L14)-TODAY())</f>
        <v>11</v>
      </c>
      <c r="O14" s="13" t="str">
        <f aca="false">IF($N14="","NOT LOGGED",IF($N14&lt;=0,"OVERDUE",IF($N14&lt;=Intervals!$C$27,"DUE SOON","OK")))</f>
        <v>OK</v>
      </c>
      <c r="P14" s="14" t="s">
        <v>99</v>
      </c>
    </row>
    <row r="15" customFormat="false" ht="15" hidden="false" customHeight="false" outlineLevel="0" collapsed="false">
      <c r="A15" s="13" t="s">
        <v>100</v>
      </c>
      <c r="B15" s="5" t="s">
        <v>101</v>
      </c>
      <c r="C15" s="14" t="s">
        <v>29</v>
      </c>
      <c r="D15" s="15" t="n">
        <v>46023</v>
      </c>
      <c r="E15" s="15" t="n">
        <v>46226</v>
      </c>
      <c r="F15" s="16" t="n">
        <f aca="false">IF($E15="","",$E15+Intervals!$C$5)</f>
        <v>46256</v>
      </c>
      <c r="G15" s="15" t="n">
        <v>46082</v>
      </c>
      <c r="H15" s="16" t="n">
        <f aca="false">IF($G15="","",EDATE($G15,Intervals!$C$6))</f>
        <v>46447</v>
      </c>
      <c r="I15" s="15"/>
      <c r="J15" s="16" t="n">
        <f aca="false">IF($C15="","",IF(AND($I15="",$D15=""),"",EDATE(IF($I15="",$D15,$I15),12*INDEX(Intervals!$B$14:$B$18,MATCH($C15,Intervals!$A$14:$A$18,0)))))</f>
        <v>48214</v>
      </c>
      <c r="K15" s="15"/>
      <c r="L15" s="16" t="n">
        <f aca="false">IF($C15="","",IF(AND($K15="",$D15=""),"",EDATE(IF($K15="",$D15,$K15),12*INDEX(Intervals!$C$14:$C$18,MATCH($C15,Intervals!$A$14:$A$18,0)))))</f>
        <v>50406</v>
      </c>
      <c r="M15" s="5" t="str">
        <f aca="false">IF(COUNT($F15,$H15,$J15,$L15)=0,"—",IF(MIN($F15,$H15,$J15,$L15)=$F15,"Monthly inspection",IF(MIN($F15,$H15,$J15,$L15)=$H15,"Annual maintenance",IF(MIN($F15,$H15,$J15,$L15)=$J15,"Internal exam","Hydrostatic test"))))</f>
        <v>Monthly inspection</v>
      </c>
      <c r="N15" s="17" t="n">
        <f aca="true">IF(COUNT($F15,$H15,$J15,$L15)=0,"",MIN($F15,$H15,$J15,$L15)-TODAY())</f>
        <v>11</v>
      </c>
      <c r="O15" s="13" t="str">
        <f aca="false">IF($N15="","NOT LOGGED",IF($N15&lt;=0,"OVERDUE",IF($N15&lt;=Intervals!$C$27,"DUE SOON","OK")))</f>
        <v>OK</v>
      </c>
      <c r="P15" s="14" t="s">
        <v>102</v>
      </c>
    </row>
    <row r="16" customFormat="false" ht="15" hidden="false" customHeight="false" outlineLevel="0" collapsed="false">
      <c r="A16" s="13" t="s">
        <v>103</v>
      </c>
      <c r="B16" s="5" t="s">
        <v>104</v>
      </c>
      <c r="C16" s="14" t="s">
        <v>29</v>
      </c>
      <c r="D16" s="15" t="n">
        <v>46023</v>
      </c>
      <c r="E16" s="15" t="n">
        <v>46226</v>
      </c>
      <c r="F16" s="16" t="n">
        <f aca="false">IF($E16="","",$E16+Intervals!$C$5)</f>
        <v>46256</v>
      </c>
      <c r="G16" s="15"/>
      <c r="H16" s="16" t="str">
        <f aca="false">IF($G16="","",EDATE($G16,Intervals!$C$6))</f>
        <v/>
      </c>
      <c r="I16" s="15"/>
      <c r="J16" s="16" t="n">
        <f aca="false">IF($C16="","",IF(AND($I16="",$D16=""),"",EDATE(IF($I16="",$D16,$I16),12*INDEX(Intervals!$B$14:$B$18,MATCH($C16,Intervals!$A$14:$A$18,0)))))</f>
        <v>48214</v>
      </c>
      <c r="K16" s="15"/>
      <c r="L16" s="16" t="n">
        <f aca="false">IF($C16="","",IF(AND($K16="",$D16=""),"",EDATE(IF($K16="",$D16,$K16),12*INDEX(Intervals!$C$14:$C$18,MATCH($C16,Intervals!$A$14:$A$18,0)))))</f>
        <v>50406</v>
      </c>
      <c r="M16" s="5" t="str">
        <f aca="false">IF(COUNT($F16,$H16,$J16,$L16)=0,"—",IF(MIN($F16,$H16,$J16,$L16)=$F16,"Monthly inspection",IF(MIN($F16,$H16,$J16,$L16)=$H16,"Annual maintenance",IF(MIN($F16,$H16,$J16,$L16)=$J16,"Internal exam","Hydrostatic test"))))</f>
        <v>Monthly inspection</v>
      </c>
      <c r="N16" s="17" t="n">
        <f aca="true">IF(COUNT($F16,$H16,$J16,$L16)=0,"",MIN($F16,$H16,$J16,$L16)-TODAY())</f>
        <v>11</v>
      </c>
      <c r="O16" s="13" t="str">
        <f aca="false">IF($N16="","NOT LOGGED",IF($N16&lt;=0,"OVERDUE",IF($N16&lt;=Intervals!$C$27,"DUE SOON","OK")))</f>
        <v>OK</v>
      </c>
      <c r="P16" s="14" t="s">
        <v>105</v>
      </c>
    </row>
    <row r="17" customFormat="false" ht="15" hidden="false" customHeight="false" outlineLevel="0" collapsed="false">
      <c r="A17" s="13" t="s">
        <v>106</v>
      </c>
      <c r="B17" s="5" t="s">
        <v>107</v>
      </c>
      <c r="C17" s="14" t="s">
        <v>29</v>
      </c>
      <c r="D17" s="15" t="n">
        <v>46023</v>
      </c>
      <c r="E17" s="15" t="n">
        <v>46226</v>
      </c>
      <c r="F17" s="16" t="n">
        <f aca="false">IF($E17="","",$E17+Intervals!$C$5)</f>
        <v>46256</v>
      </c>
      <c r="G17" s="15" t="n">
        <v>46082</v>
      </c>
      <c r="H17" s="16" t="n">
        <f aca="false">IF($G17="","",EDATE($G17,Intervals!$C$6))</f>
        <v>46447</v>
      </c>
      <c r="I17" s="15"/>
      <c r="J17" s="16" t="n">
        <f aca="false">IF($C17="","",IF(AND($I17="",$D17=""),"",EDATE(IF($I17="",$D17,$I17),12*INDEX(Intervals!$B$14:$B$18,MATCH($C17,Intervals!$A$14:$A$18,0)))))</f>
        <v>48214</v>
      </c>
      <c r="K17" s="15"/>
      <c r="L17" s="16" t="n">
        <f aca="false">IF($C17="","",IF(AND($K17="",$D17=""),"",EDATE(IF($K17="",$D17,$K17),12*INDEX(Intervals!$C$14:$C$18,MATCH($C17,Intervals!$A$14:$A$18,0)))))</f>
        <v>50406</v>
      </c>
      <c r="M17" s="5" t="str">
        <f aca="false">IF(COUNT($F17,$H17,$J17,$L17)=0,"—",IF(MIN($F17,$H17,$J17,$L17)=$F17,"Monthly inspection",IF(MIN($F17,$H17,$J17,$L17)=$H17,"Annual maintenance",IF(MIN($F17,$H17,$J17,$L17)=$J17,"Internal exam","Hydrostatic test"))))</f>
        <v>Monthly inspection</v>
      </c>
      <c r="N17" s="17" t="n">
        <f aca="true">IF(COUNT($F17,$H17,$J17,$L17)=0,"",MIN($F17,$H17,$J17,$L17)-TODAY())</f>
        <v>11</v>
      </c>
      <c r="O17" s="13" t="str">
        <f aca="false">IF($N17="","NOT LOGGED",IF($N17&lt;=0,"OVERDUE",IF($N17&lt;=Intervals!$C$27,"DUE SOON","OK")))</f>
        <v>OK</v>
      </c>
      <c r="P17" s="14" t="s">
        <v>108</v>
      </c>
    </row>
    <row r="18" customFormat="false" ht="15" hidden="false" customHeight="false" outlineLevel="0" collapsed="false">
      <c r="A18" s="13" t="s">
        <v>109</v>
      </c>
      <c r="B18" s="5" t="s">
        <v>110</v>
      </c>
      <c r="C18" s="14" t="s">
        <v>29</v>
      </c>
      <c r="D18" s="15" t="n">
        <v>46023</v>
      </c>
      <c r="E18" s="15" t="n">
        <v>46226</v>
      </c>
      <c r="F18" s="16" t="n">
        <f aca="false">IF($E18="","",$E18+Intervals!$C$5)</f>
        <v>46256</v>
      </c>
      <c r="G18" s="15" t="n">
        <v>46082</v>
      </c>
      <c r="H18" s="16" t="n">
        <f aca="false">IF($G18="","",EDATE($G18,Intervals!$C$6))</f>
        <v>46447</v>
      </c>
      <c r="I18" s="15"/>
      <c r="J18" s="16" t="n">
        <f aca="false">IF($C18="","",IF(AND($I18="",$D18=""),"",EDATE(IF($I18="",$D18,$I18),12*INDEX(Intervals!$B$14:$B$18,MATCH($C18,Intervals!$A$14:$A$18,0)))))</f>
        <v>48214</v>
      </c>
      <c r="K18" s="15"/>
      <c r="L18" s="16" t="n">
        <f aca="false">IF($C18="","",IF(AND($K18="",$D18=""),"",EDATE(IF($K18="",$D18,$K18),12*INDEX(Intervals!$C$14:$C$18,MATCH($C18,Intervals!$A$14:$A$18,0)))))</f>
        <v>50406</v>
      </c>
      <c r="M18" s="5" t="str">
        <f aca="false">IF(COUNT($F18,$H18,$J18,$L18)=0,"—",IF(MIN($F18,$H18,$J18,$L18)=$F18,"Monthly inspection",IF(MIN($F18,$H18,$J18,$L18)=$H18,"Annual maintenance",IF(MIN($F18,$H18,$J18,$L18)=$J18,"Internal exam","Hydrostatic test"))))</f>
        <v>Monthly inspection</v>
      </c>
      <c r="N18" s="17" t="n">
        <f aca="true">IF(COUNT($F18,$H18,$J18,$L18)=0,"",MIN($F18,$H18,$J18,$L18)-TODAY())</f>
        <v>11</v>
      </c>
      <c r="O18" s="13" t="str">
        <f aca="false">IF($N18="","NOT LOGGED",IF($N18&lt;=0,"OVERDUE",IF($N18&lt;=Intervals!$C$27,"DUE SOON","OK")))</f>
        <v>OK</v>
      </c>
      <c r="P18" s="14" t="s">
        <v>111</v>
      </c>
    </row>
    <row r="19" customFormat="false" ht="15" hidden="false" customHeight="false" outlineLevel="0" collapsed="false">
      <c r="A19" s="13" t="s">
        <v>112</v>
      </c>
      <c r="B19" s="5" t="s">
        <v>113</v>
      </c>
      <c r="C19" s="14" t="s">
        <v>29</v>
      </c>
      <c r="D19" s="15" t="n">
        <v>46023</v>
      </c>
      <c r="E19" s="15" t="n">
        <v>46226</v>
      </c>
      <c r="F19" s="16" t="n">
        <f aca="false">IF($E19="","",$E19+Intervals!$C$5)</f>
        <v>46256</v>
      </c>
      <c r="G19" s="15" t="n">
        <v>46082</v>
      </c>
      <c r="H19" s="16" t="n">
        <f aca="false">IF($G19="","",EDATE($G19,Intervals!$C$6))</f>
        <v>46447</v>
      </c>
      <c r="I19" s="15"/>
      <c r="J19" s="16" t="n">
        <f aca="false">IF($C19="","",IF(AND($I19="",$D19=""),"",EDATE(IF($I19="",$D19,$I19),12*INDEX(Intervals!$B$14:$B$18,MATCH($C19,Intervals!$A$14:$A$18,0)))))</f>
        <v>48214</v>
      </c>
      <c r="K19" s="15"/>
      <c r="L19" s="16" t="n">
        <f aca="false">IF($C19="","",IF(AND($K19="",$D19=""),"",EDATE(IF($K19="",$D19,$K19),12*INDEX(Intervals!$C$14:$C$18,MATCH($C19,Intervals!$A$14:$A$18,0)))))</f>
        <v>50406</v>
      </c>
      <c r="M19" s="5" t="str">
        <f aca="false">IF(COUNT($F19,$H19,$J19,$L19)=0,"—",IF(MIN($F19,$H19,$J19,$L19)=$F19,"Monthly inspection",IF(MIN($F19,$H19,$J19,$L19)=$H19,"Annual maintenance",IF(MIN($F19,$H19,$J19,$L19)=$J19,"Internal exam","Hydrostatic test"))))</f>
        <v>Monthly inspection</v>
      </c>
      <c r="N19" s="17" t="n">
        <f aca="true">IF(COUNT($F19,$H19,$J19,$L19)=0,"",MIN($F19,$H19,$J19,$L19)-TODAY())</f>
        <v>11</v>
      </c>
      <c r="O19" s="13" t="str">
        <f aca="false">IF($N19="","NOT LOGGED",IF($N19&lt;=0,"OVERDUE",IF($N19&lt;=Intervals!$C$27,"DUE SOON","OK")))</f>
        <v>OK</v>
      </c>
      <c r="P19" s="14" t="s">
        <v>114</v>
      </c>
    </row>
    <row r="20" customFormat="false" ht="15" hidden="false" customHeight="false" outlineLevel="0" collapsed="false">
      <c r="A20" s="13" t="s">
        <v>115</v>
      </c>
      <c r="B20" s="5" t="s">
        <v>116</v>
      </c>
      <c r="C20" s="14" t="s">
        <v>29</v>
      </c>
      <c r="D20" s="15" t="n">
        <v>46023</v>
      </c>
      <c r="E20" s="15" t="n">
        <v>46226</v>
      </c>
      <c r="F20" s="16" t="n">
        <f aca="false">IF($E20="","",$E20+Intervals!$C$5)</f>
        <v>46256</v>
      </c>
      <c r="G20" s="15" t="n">
        <v>46082</v>
      </c>
      <c r="H20" s="16" t="n">
        <f aca="false">IF($G20="","",EDATE($G20,Intervals!$C$6))</f>
        <v>46447</v>
      </c>
      <c r="I20" s="15"/>
      <c r="J20" s="16" t="n">
        <f aca="false">IF($C20="","",IF(AND($I20="",$D20=""),"",EDATE(IF($I20="",$D20,$I20),12*INDEX(Intervals!$B$14:$B$18,MATCH($C20,Intervals!$A$14:$A$18,0)))))</f>
        <v>48214</v>
      </c>
      <c r="K20" s="15"/>
      <c r="L20" s="16" t="n">
        <f aca="false">IF($C20="","",IF(AND($K20="",$D20=""),"",EDATE(IF($K20="",$D20,$K20),12*INDEX(Intervals!$C$14:$C$18,MATCH($C20,Intervals!$A$14:$A$18,0)))))</f>
        <v>50406</v>
      </c>
      <c r="M20" s="5" t="str">
        <f aca="false">IF(COUNT($F20,$H20,$J20,$L20)=0,"—",IF(MIN($F20,$H20,$J20,$L20)=$F20,"Monthly inspection",IF(MIN($F20,$H20,$J20,$L20)=$H20,"Annual maintenance",IF(MIN($F20,$H20,$J20,$L20)=$J20,"Internal exam","Hydrostatic test"))))</f>
        <v>Monthly inspection</v>
      </c>
      <c r="N20" s="17" t="n">
        <f aca="true">IF(COUNT($F20,$H20,$J20,$L20)=0,"",MIN($F20,$H20,$J20,$L20)-TODAY())</f>
        <v>11</v>
      </c>
      <c r="O20" s="13" t="str">
        <f aca="false">IF($N20="","NOT LOGGED",IF($N20&lt;=0,"OVERDUE",IF($N20&lt;=Intervals!$C$27,"DUE SOON","OK")))</f>
        <v>OK</v>
      </c>
      <c r="P20" s="14" t="s">
        <v>117</v>
      </c>
    </row>
    <row r="21" customFormat="false" ht="15" hidden="false" customHeight="false" outlineLevel="0" collapsed="false">
      <c r="A21" s="13" t="s">
        <v>118</v>
      </c>
      <c r="B21" s="5" t="s">
        <v>119</v>
      </c>
      <c r="C21" s="14" t="s">
        <v>29</v>
      </c>
      <c r="D21" s="15" t="n">
        <v>46023</v>
      </c>
      <c r="E21" s="15" t="n">
        <v>46226</v>
      </c>
      <c r="F21" s="16" t="n">
        <f aca="false">IF($E21="","",$E21+Intervals!$C$5)</f>
        <v>46256</v>
      </c>
      <c r="G21" s="15" t="n">
        <v>46082</v>
      </c>
      <c r="H21" s="16" t="n">
        <f aca="false">IF($G21="","",EDATE($G21,Intervals!$C$6))</f>
        <v>46447</v>
      </c>
      <c r="I21" s="15"/>
      <c r="J21" s="16" t="n">
        <f aca="false">IF($C21="","",IF(AND($I21="",$D21=""),"",EDATE(IF($I21="",$D21,$I21),12*INDEX(Intervals!$B$14:$B$18,MATCH($C21,Intervals!$A$14:$A$18,0)))))</f>
        <v>48214</v>
      </c>
      <c r="K21" s="15"/>
      <c r="L21" s="16" t="n">
        <f aca="false">IF($C21="","",IF(AND($K21="",$D21=""),"",EDATE(IF($K21="",$D21,$K21),12*INDEX(Intervals!$C$14:$C$18,MATCH($C21,Intervals!$A$14:$A$18,0)))))</f>
        <v>50406</v>
      </c>
      <c r="M21" s="5" t="str">
        <f aca="false">IF(COUNT($F21,$H21,$J21,$L21)=0,"—",IF(MIN($F21,$H21,$J21,$L21)=$F21,"Monthly inspection",IF(MIN($F21,$H21,$J21,$L21)=$H21,"Annual maintenance",IF(MIN($F21,$H21,$J21,$L21)=$J21,"Internal exam","Hydrostatic test"))))</f>
        <v>Monthly inspection</v>
      </c>
      <c r="N21" s="17" t="n">
        <f aca="true">IF(COUNT($F21,$H21,$J21,$L21)=0,"",MIN($F21,$H21,$J21,$L21)-TODAY())</f>
        <v>11</v>
      </c>
      <c r="O21" s="13" t="str">
        <f aca="false">IF($N21="","NOT LOGGED",IF($N21&lt;=0,"OVERDUE",IF($N21&lt;=Intervals!$C$27,"DUE SOON","OK")))</f>
        <v>OK</v>
      </c>
      <c r="P21" s="14" t="s">
        <v>120</v>
      </c>
    </row>
    <row r="22" customFormat="false" ht="15" hidden="false" customHeight="false" outlineLevel="0" collapsed="false">
      <c r="A22" s="13" t="s">
        <v>121</v>
      </c>
      <c r="B22" s="5" t="s">
        <v>122</v>
      </c>
      <c r="C22" s="14" t="s">
        <v>29</v>
      </c>
      <c r="D22" s="15" t="n">
        <v>46023</v>
      </c>
      <c r="E22" s="15" t="n">
        <v>46226</v>
      </c>
      <c r="F22" s="16" t="n">
        <f aca="false">IF($E22="","",$E22+Intervals!$C$5)</f>
        <v>46256</v>
      </c>
      <c r="G22" s="15" t="n">
        <v>46082</v>
      </c>
      <c r="H22" s="16" t="n">
        <f aca="false">IF($G22="","",EDATE($G22,Intervals!$C$6))</f>
        <v>46447</v>
      </c>
      <c r="I22" s="15"/>
      <c r="J22" s="16" t="n">
        <f aca="false">IF($C22="","",IF(AND($I22="",$D22=""),"",EDATE(IF($I22="",$D22,$I22),12*INDEX(Intervals!$B$14:$B$18,MATCH($C22,Intervals!$A$14:$A$18,0)))))</f>
        <v>48214</v>
      </c>
      <c r="K22" s="15"/>
      <c r="L22" s="16" t="n">
        <f aca="false">IF($C22="","",IF(AND($K22="",$D22=""),"",EDATE(IF($K22="",$D22,$K22),12*INDEX(Intervals!$C$14:$C$18,MATCH($C22,Intervals!$A$14:$A$18,0)))))</f>
        <v>50406</v>
      </c>
      <c r="M22" s="5" t="str">
        <f aca="false">IF(COUNT($F22,$H22,$J22,$L22)=0,"—",IF(MIN($F22,$H22,$J22,$L22)=$F22,"Monthly inspection",IF(MIN($F22,$H22,$J22,$L22)=$H22,"Annual maintenance",IF(MIN($F22,$H22,$J22,$L22)=$J22,"Internal exam","Hydrostatic test"))))</f>
        <v>Monthly inspection</v>
      </c>
      <c r="N22" s="17" t="n">
        <f aca="true">IF(COUNT($F22,$H22,$J22,$L22)=0,"",MIN($F22,$H22,$J22,$L22)-TODAY())</f>
        <v>11</v>
      </c>
      <c r="O22" s="13" t="str">
        <f aca="false">IF($N22="","NOT LOGGED",IF($N22&lt;=0,"OVERDUE",IF($N22&lt;=Intervals!$C$27,"DUE SOON","OK")))</f>
        <v>OK</v>
      </c>
      <c r="P22" s="14" t="s">
        <v>123</v>
      </c>
    </row>
    <row r="23" customFormat="false" ht="15" hidden="false" customHeight="false" outlineLevel="0" collapsed="false">
      <c r="A23" s="13" t="s">
        <v>124</v>
      </c>
      <c r="B23" s="5" t="s">
        <v>125</v>
      </c>
      <c r="C23" s="14" t="s">
        <v>29</v>
      </c>
      <c r="D23" s="15" t="n">
        <v>46023</v>
      </c>
      <c r="E23" s="15" t="n">
        <v>46226</v>
      </c>
      <c r="F23" s="16" t="n">
        <f aca="false">IF($E23="","",$E23+Intervals!$C$5)</f>
        <v>46256</v>
      </c>
      <c r="G23" s="15" t="n">
        <v>46082</v>
      </c>
      <c r="H23" s="16" t="n">
        <f aca="false">IF($G23="","",EDATE($G23,Intervals!$C$6))</f>
        <v>46447</v>
      </c>
      <c r="I23" s="15"/>
      <c r="J23" s="16" t="n">
        <f aca="false">IF($C23="","",IF(AND($I23="",$D23=""),"",EDATE(IF($I23="",$D23,$I23),12*INDEX(Intervals!$B$14:$B$18,MATCH($C23,Intervals!$A$14:$A$18,0)))))</f>
        <v>48214</v>
      </c>
      <c r="K23" s="15"/>
      <c r="L23" s="16" t="n">
        <f aca="false">IF($C23="","",IF(AND($K23="",$D23=""),"",EDATE(IF($K23="",$D23,$K23),12*INDEX(Intervals!$C$14:$C$18,MATCH($C23,Intervals!$A$14:$A$18,0)))))</f>
        <v>50406</v>
      </c>
      <c r="M23" s="5" t="str">
        <f aca="false">IF(COUNT($F23,$H23,$J23,$L23)=0,"—",IF(MIN($F23,$H23,$J23,$L23)=$F23,"Monthly inspection",IF(MIN($F23,$H23,$J23,$L23)=$H23,"Annual maintenance",IF(MIN($F23,$H23,$J23,$L23)=$J23,"Internal exam","Hydrostatic test"))))</f>
        <v>Monthly inspection</v>
      </c>
      <c r="N23" s="17" t="n">
        <f aca="true">IF(COUNT($F23,$H23,$J23,$L23)=0,"",MIN($F23,$H23,$J23,$L23)-TODAY())</f>
        <v>11</v>
      </c>
      <c r="O23" s="13" t="str">
        <f aca="false">IF($N23="","NOT LOGGED",IF($N23&lt;=0,"OVERDUE",IF($N23&lt;=Intervals!$C$27,"DUE SOON","OK")))</f>
        <v>OK</v>
      </c>
      <c r="P23" s="14" t="s">
        <v>126</v>
      </c>
    </row>
    <row r="24" customFormat="false" ht="15" hidden="false" customHeight="false" outlineLevel="0" collapsed="false">
      <c r="A24" s="13" t="s">
        <v>127</v>
      </c>
      <c r="B24" s="5" t="s">
        <v>128</v>
      </c>
      <c r="C24" s="14" t="s">
        <v>29</v>
      </c>
      <c r="D24" s="15" t="n">
        <v>46023</v>
      </c>
      <c r="E24" s="15" t="n">
        <v>46226</v>
      </c>
      <c r="F24" s="16" t="n">
        <f aca="false">IF($E24="","",$E24+Intervals!$C$5)</f>
        <v>46256</v>
      </c>
      <c r="G24" s="15" t="n">
        <v>46082</v>
      </c>
      <c r="H24" s="16" t="n">
        <f aca="false">IF($G24="","",EDATE($G24,Intervals!$C$6))</f>
        <v>46447</v>
      </c>
      <c r="I24" s="15"/>
      <c r="J24" s="16" t="n">
        <f aca="false">IF($C24="","",IF(AND($I24="",$D24=""),"",EDATE(IF($I24="",$D24,$I24),12*INDEX(Intervals!$B$14:$B$18,MATCH($C24,Intervals!$A$14:$A$18,0)))))</f>
        <v>48214</v>
      </c>
      <c r="K24" s="15"/>
      <c r="L24" s="16" t="n">
        <f aca="false">IF($C24="","",IF(AND($K24="",$D24=""),"",EDATE(IF($K24="",$D24,$K24),12*INDEX(Intervals!$C$14:$C$18,MATCH($C24,Intervals!$A$14:$A$18,0)))))</f>
        <v>50406</v>
      </c>
      <c r="M24" s="5" t="str">
        <f aca="false">IF(COUNT($F24,$H24,$J24,$L24)=0,"—",IF(MIN($F24,$H24,$J24,$L24)=$F24,"Monthly inspection",IF(MIN($F24,$H24,$J24,$L24)=$H24,"Annual maintenance",IF(MIN($F24,$H24,$J24,$L24)=$J24,"Internal exam","Hydrostatic test"))))</f>
        <v>Monthly inspection</v>
      </c>
      <c r="N24" s="17" t="n">
        <f aca="true">IF(COUNT($F24,$H24,$J24,$L24)=0,"",MIN($F24,$H24,$J24,$L24)-TODAY())</f>
        <v>11</v>
      </c>
      <c r="O24" s="13" t="str">
        <f aca="false">IF($N24="","NOT LOGGED",IF($N24&lt;=0,"OVERDUE",IF($N24&lt;=Intervals!$C$27,"DUE SOON","OK")))</f>
        <v>OK</v>
      </c>
      <c r="P24" s="14" t="s">
        <v>129</v>
      </c>
    </row>
    <row r="25" customFormat="false" ht="15" hidden="false" customHeight="false" outlineLevel="0" collapsed="false">
      <c r="A25" s="13" t="s">
        <v>130</v>
      </c>
      <c r="B25" s="5" t="s">
        <v>131</v>
      </c>
      <c r="C25" s="14" t="s">
        <v>29</v>
      </c>
      <c r="D25" s="15" t="n">
        <v>46023</v>
      </c>
      <c r="E25" s="15" t="n">
        <v>46226</v>
      </c>
      <c r="F25" s="16" t="n">
        <f aca="false">IF($E25="","",$E25+Intervals!$C$5)</f>
        <v>46256</v>
      </c>
      <c r="G25" s="15" t="n">
        <v>46082</v>
      </c>
      <c r="H25" s="16" t="n">
        <f aca="false">IF($G25="","",EDATE($G25,Intervals!$C$6))</f>
        <v>46447</v>
      </c>
      <c r="I25" s="15"/>
      <c r="J25" s="16" t="n">
        <f aca="false">IF($C25="","",IF(AND($I25="",$D25=""),"",EDATE(IF($I25="",$D25,$I25),12*INDEX(Intervals!$B$14:$B$18,MATCH($C25,Intervals!$A$14:$A$18,0)))))</f>
        <v>48214</v>
      </c>
      <c r="K25" s="15"/>
      <c r="L25" s="16" t="n">
        <f aca="false">IF($C25="","",IF(AND($K25="",$D25=""),"",EDATE(IF($K25="",$D25,$K25),12*INDEX(Intervals!$C$14:$C$18,MATCH($C25,Intervals!$A$14:$A$18,0)))))</f>
        <v>50406</v>
      </c>
      <c r="M25" s="5" t="str">
        <f aca="false">IF(COUNT($F25,$H25,$J25,$L25)=0,"—",IF(MIN($F25,$H25,$J25,$L25)=$F25,"Monthly inspection",IF(MIN($F25,$H25,$J25,$L25)=$H25,"Annual maintenance",IF(MIN($F25,$H25,$J25,$L25)=$J25,"Internal exam","Hydrostatic test"))))</f>
        <v>Monthly inspection</v>
      </c>
      <c r="N25" s="17" t="n">
        <f aca="true">IF(COUNT($F25,$H25,$J25,$L25)=0,"",MIN($F25,$H25,$J25,$L25)-TODAY())</f>
        <v>11</v>
      </c>
      <c r="O25" s="13" t="str">
        <f aca="false">IF($N25="","NOT LOGGED",IF($N25&lt;=0,"OVERDUE",IF($N25&lt;=Intervals!$C$27,"DUE SOON","OK")))</f>
        <v>OK</v>
      </c>
      <c r="P25" s="14" t="s">
        <v>132</v>
      </c>
    </row>
    <row r="26" customFormat="false" ht="15" hidden="false" customHeight="false" outlineLevel="0" collapsed="false">
      <c r="A26" s="18" t="s">
        <v>133</v>
      </c>
      <c r="B26" s="19" t="s">
        <v>134</v>
      </c>
      <c r="C26" s="14" t="s">
        <v>29</v>
      </c>
      <c r="D26" s="15" t="n">
        <v>46023</v>
      </c>
      <c r="E26" s="15" t="n">
        <v>46226</v>
      </c>
      <c r="F26" s="16" t="n">
        <f aca="false">IF($E26="","",$E26+Intervals!$C$5)</f>
        <v>46256</v>
      </c>
      <c r="G26" s="15"/>
      <c r="H26" s="16" t="str">
        <f aca="false">IF($G26="","",EDATE($G26,Intervals!$C$6))</f>
        <v/>
      </c>
      <c r="I26" s="15"/>
      <c r="J26" s="16" t="n">
        <f aca="false">IF($C26="","",IF(AND($I26="",$D26=""),"",EDATE(IF($I26="",$D26,$I26),12*INDEX(Intervals!$B$14:$B$18,MATCH($C26,Intervals!$A$14:$A$18,0)))))</f>
        <v>48214</v>
      </c>
      <c r="K26" s="15"/>
      <c r="L26" s="16" t="n">
        <f aca="false">IF($C26="","",IF(AND($K26="",$D26=""),"",EDATE(IF($K26="",$D26,$K26),12*INDEX(Intervals!$C$14:$C$18,MATCH($C26,Intervals!$A$14:$A$18,0)))))</f>
        <v>50406</v>
      </c>
      <c r="M26" s="5" t="str">
        <f aca="false">IF(COUNT($F26,$H26,$J26,$L26)=0,"—",IF(MIN($F26,$H26,$J26,$L26)=$F26,"Monthly inspection",IF(MIN($F26,$H26,$J26,$L26)=$H26,"Annual maintenance",IF(MIN($F26,$H26,$J26,$L26)=$J26,"Internal exam","Hydrostatic test"))))</f>
        <v>Monthly inspection</v>
      </c>
      <c r="N26" s="17" t="n">
        <f aca="true">IF(COUNT($F26,$H26,$J26,$L26)=0,"",MIN($F26,$H26,$J26,$L26)-TODAY())</f>
        <v>11</v>
      </c>
      <c r="O26" s="13" t="str">
        <f aca="false">IF($N26="","NOT LOGGED",IF($N26&lt;=0,"OVERDUE",IF($N26&lt;=Intervals!$C$27,"DUE SOON","OK")))</f>
        <v>OK</v>
      </c>
      <c r="P26" s="14" t="s">
        <v>135</v>
      </c>
    </row>
    <row r="28" customFormat="false" ht="15" hidden="false" customHeight="false" outlineLevel="0" collapsed="false">
      <c r="A28" s="2" t="s">
        <v>136</v>
      </c>
    </row>
    <row r="29" customFormat="false" ht="15" hidden="false" customHeight="false" outlineLevel="0" collapsed="false">
      <c r="A29" s="2" t="s">
        <v>137</v>
      </c>
    </row>
  </sheetData>
  <mergeCells count="3">
    <mergeCell ref="A1:P1"/>
    <mergeCell ref="A2:P2"/>
    <mergeCell ref="A3:P3"/>
  </mergeCells>
  <conditionalFormatting sqref="O6:O26">
    <cfRule type="cellIs" priority="2" operator="equal" aboveAverage="0" equalAverage="0" bottom="0" percent="0" rank="0" text="" dxfId="0">
      <formula>"OK"</formula>
    </cfRule>
    <cfRule type="cellIs" priority="3" operator="equal" aboveAverage="0" equalAverage="0" bottom="0" percent="0" rank="0" text="" dxfId="1">
      <formula>"DUE SOON"</formula>
    </cfRule>
    <cfRule type="cellIs" priority="4" operator="equal" aboveAverage="0" equalAverage="0" bottom="0" percent="0" rank="0" text="" dxfId="2">
      <formula>"OVERDUE"</formula>
    </cfRule>
    <cfRule type="cellIs" priority="5" operator="equal" aboveAverage="0" equalAverage="0" bottom="0" percent="0" rank="0" text="" dxfId="3">
      <formula>"NOT LOGGED"</formula>
    </cfRule>
  </conditionalFormatting>
  <conditionalFormatting sqref="F6:F26">
    <cfRule type="expression" priority="6" aboveAverage="0" equalAverage="0" bottom="0" percent="0" rank="0" text="" dxfId="2">
      <formula>AND(ISNUMBER(F6),F6&lt;=TODAY())</formula>
    </cfRule>
    <cfRule type="expression" priority="7" aboveAverage="0" equalAverage="0" bottom="0" percent="0" rank="0" text="" dxfId="1">
      <formula>AND(ISNUMBER(F6),F6&lt;=TODAY()+60)</formula>
    </cfRule>
  </conditionalFormatting>
  <conditionalFormatting sqref="H6:H26">
    <cfRule type="expression" priority="8" aboveAverage="0" equalAverage="0" bottom="0" percent="0" rank="0" text="" dxfId="2">
      <formula>AND(ISNUMBER(H6),H6&lt;=TODAY())</formula>
    </cfRule>
    <cfRule type="expression" priority="9" aboveAverage="0" equalAverage="0" bottom="0" percent="0" rank="0" text="" dxfId="1">
      <formula>AND(ISNUMBER(H6),H6&lt;=TODAY()+60)</formula>
    </cfRule>
  </conditionalFormatting>
  <conditionalFormatting sqref="J6:J26">
    <cfRule type="expression" priority="10" aboveAverage="0" equalAverage="0" bottom="0" percent="0" rank="0" text="" dxfId="2">
      <formula>AND(ISNUMBER(J6),J6&lt;=TODAY())</formula>
    </cfRule>
    <cfRule type="expression" priority="11" aboveAverage="0" equalAverage="0" bottom="0" percent="0" rank="0" text="" dxfId="1">
      <formula>AND(ISNUMBER(J6),J6&lt;=TODAY()+60)</formula>
    </cfRule>
  </conditionalFormatting>
  <conditionalFormatting sqref="L6:L26">
    <cfRule type="expression" priority="12" aboveAverage="0" equalAverage="0" bottom="0" percent="0" rank="0" text="" dxfId="2">
      <formula>AND(ISNUMBER(L6),L6&lt;=TODAY())</formula>
    </cfRule>
    <cfRule type="expression" priority="13" aboveAverage="0" equalAverage="0" bottom="0" percent="0" rank="0" text="" dxfId="1">
      <formula>AND(ISNUMBER(L6),L6&lt;=TODAY()+60)</formula>
    </cfRule>
  </conditionalFormatting>
  <dataValidations count="1">
    <dataValidation allowBlank="true" error="Pick a type from the list on the Intervals tab." errorStyle="stop" errorTitle="Unknown extinguisher type" operator="between" showDropDown="false" showErrorMessage="false" showInputMessage="false" sqref="C6:C26" type="list">
      <formula1>Intervals!$A$14:$A$18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36"/>
    <col collapsed="false" customWidth="true" hidden="false" outlineLevel="0" max="7" min="4" style="0" width="14"/>
    <col collapsed="false" customWidth="true" hidden="false" outlineLevel="0" max="8" min="8" style="0" width="21"/>
    <col collapsed="false" customWidth="true" hidden="false" outlineLevel="0" max="9" min="9" style="0" width="10"/>
    <col collapsed="false" customWidth="true" hidden="false" outlineLevel="0" max="10" min="10" style="0" width="13"/>
    <col collapsed="false" customWidth="true" hidden="false" outlineLevel="0" max="11" min="11" style="0" width="26"/>
  </cols>
  <sheetData>
    <row r="1" customFormat="false" ht="17.35" hidden="false" customHeight="false" outlineLevel="0" collapsed="false">
      <c r="A1" s="9" t="s">
        <v>138</v>
      </c>
      <c r="B1" s="9"/>
      <c r="C1" s="9"/>
      <c r="D1" s="9"/>
      <c r="E1" s="9"/>
      <c r="F1" s="9"/>
      <c r="G1" s="9"/>
      <c r="H1" s="9"/>
      <c r="I1" s="9"/>
      <c r="J1" s="9"/>
      <c r="K1" s="9"/>
    </row>
    <row r="2" customFormat="false" ht="25.5" hidden="false" customHeight="true" outlineLevel="0" collapsed="false">
      <c r="A2" s="10" t="s">
        <v>139</v>
      </c>
      <c r="B2" s="10"/>
      <c r="C2" s="10"/>
      <c r="D2" s="10"/>
      <c r="E2" s="10"/>
      <c r="F2" s="10"/>
      <c r="G2" s="10"/>
      <c r="H2" s="10"/>
      <c r="I2" s="10"/>
      <c r="J2" s="10"/>
      <c r="K2" s="10"/>
    </row>
    <row r="3" customFormat="false" ht="25.5" hidden="false" customHeight="true" outlineLevel="0" collapsed="false">
      <c r="A3" s="11" t="s">
        <v>140</v>
      </c>
      <c r="B3" s="11"/>
      <c r="C3" s="11"/>
      <c r="D3" s="11"/>
      <c r="E3" s="11"/>
      <c r="F3" s="11"/>
      <c r="G3" s="11"/>
      <c r="H3" s="11"/>
      <c r="I3" s="11"/>
      <c r="J3" s="11"/>
      <c r="K3" s="11"/>
    </row>
    <row r="5" customFormat="false" ht="33.75" hidden="false" customHeight="true" outlineLevel="0" collapsed="false">
      <c r="A5" s="12" t="s">
        <v>141</v>
      </c>
      <c r="B5" s="12" t="s">
        <v>142</v>
      </c>
      <c r="C5" s="12" t="s">
        <v>58</v>
      </c>
      <c r="D5" s="12" t="s">
        <v>143</v>
      </c>
      <c r="E5" s="12" t="s">
        <v>144</v>
      </c>
      <c r="F5" s="12" t="s">
        <v>145</v>
      </c>
      <c r="G5" s="12" t="s">
        <v>146</v>
      </c>
      <c r="H5" s="12" t="s">
        <v>69</v>
      </c>
      <c r="I5" s="12" t="s">
        <v>70</v>
      </c>
      <c r="J5" s="12" t="s">
        <v>71</v>
      </c>
      <c r="K5" s="12" t="s">
        <v>72</v>
      </c>
    </row>
    <row r="6" customFormat="false" ht="15" hidden="false" customHeight="false" outlineLevel="0" collapsed="false">
      <c r="A6" s="13" t="s">
        <v>147</v>
      </c>
      <c r="B6" s="20" t="s">
        <v>147</v>
      </c>
      <c r="C6" s="5" t="s">
        <v>148</v>
      </c>
      <c r="D6" s="15" t="n">
        <v>46226</v>
      </c>
      <c r="E6" s="16" t="n">
        <f aca="false">IF($D6="","",$D6+Intervals!$C$7)</f>
        <v>46256</v>
      </c>
      <c r="F6" s="15"/>
      <c r="G6" s="16" t="str">
        <f aca="false">IF($F6="","",EDATE($F6,Intervals!$C$8))</f>
        <v/>
      </c>
      <c r="H6" s="5" t="str">
        <f aca="false">IF(COUNT($E6,$G6)=0,"—",IF(MIN($E6,$G6)=$E6,"Monthly function test","Annual 90-minute test"))</f>
        <v>Monthly function test</v>
      </c>
      <c r="I6" s="17" t="n">
        <f aca="true">IF(COUNT($E6,$G6)=0,"",MIN($E6,$G6)-TODAY())</f>
        <v>11</v>
      </c>
      <c r="J6" s="13" t="str">
        <f aca="false">IF($I6="","NOT LOGGED",IF($I6&lt;=0,"OVERDUE",IF($I6&lt;=Intervals!$C$27,"DUE SOON","OK")))</f>
        <v>OK</v>
      </c>
      <c r="K6" s="14"/>
    </row>
    <row r="7" customFormat="false" ht="15" hidden="false" customHeight="false" outlineLevel="0" collapsed="false">
      <c r="A7" s="13" t="s">
        <v>149</v>
      </c>
      <c r="B7" s="20" t="s">
        <v>149</v>
      </c>
      <c r="C7" s="5" t="s">
        <v>150</v>
      </c>
      <c r="D7" s="15" t="n">
        <v>46226</v>
      </c>
      <c r="E7" s="16" t="n">
        <f aca="false">IF($D7="","",$D7+Intervals!$C$7)</f>
        <v>46256</v>
      </c>
      <c r="F7" s="15"/>
      <c r="G7" s="16" t="str">
        <f aca="false">IF($F7="","",EDATE($F7,Intervals!$C$8))</f>
        <v/>
      </c>
      <c r="H7" s="5" t="str">
        <f aca="false">IF(COUNT($E7,$G7)=0,"—",IF(MIN($E7,$G7)=$E7,"Monthly function test","Annual 90-minute test"))</f>
        <v>Monthly function test</v>
      </c>
      <c r="I7" s="17" t="n">
        <f aca="true">IF(COUNT($E7,$G7)=0,"",MIN($E7,$G7)-TODAY())</f>
        <v>11</v>
      </c>
      <c r="J7" s="13" t="str">
        <f aca="false">IF($I7="","NOT LOGGED",IF($I7&lt;=0,"OVERDUE",IF($I7&lt;=Intervals!$C$27,"DUE SOON","OK")))</f>
        <v>OK</v>
      </c>
      <c r="K7" s="14"/>
    </row>
    <row r="8" customFormat="false" ht="15" hidden="false" customHeight="false" outlineLevel="0" collapsed="false">
      <c r="A8" s="13" t="s">
        <v>151</v>
      </c>
      <c r="B8" s="20" t="s">
        <v>151</v>
      </c>
      <c r="C8" s="5" t="s">
        <v>152</v>
      </c>
      <c r="D8" s="15" t="n">
        <v>46226</v>
      </c>
      <c r="E8" s="16" t="n">
        <f aca="false">IF($D8="","",$D8+Intervals!$C$7)</f>
        <v>46256</v>
      </c>
      <c r="F8" s="15"/>
      <c r="G8" s="16" t="str">
        <f aca="false">IF($F8="","",EDATE($F8,Intervals!$C$8))</f>
        <v/>
      </c>
      <c r="H8" s="5" t="str">
        <f aca="false">IF(COUNT($E8,$G8)=0,"—",IF(MIN($E8,$G8)=$E8,"Monthly function test","Annual 90-minute test"))</f>
        <v>Monthly function test</v>
      </c>
      <c r="I8" s="17" t="n">
        <f aca="true">IF(COUNT($E8,$G8)=0,"",MIN($E8,$G8)-TODAY())</f>
        <v>11</v>
      </c>
      <c r="J8" s="13" t="str">
        <f aca="false">IF($I8="","NOT LOGGED",IF($I8&lt;=0,"OVERDUE",IF($I8&lt;=Intervals!$C$27,"DUE SOON","OK")))</f>
        <v>OK</v>
      </c>
      <c r="K8" s="14"/>
    </row>
    <row r="9" customFormat="false" ht="15" hidden="false" customHeight="false" outlineLevel="0" collapsed="false">
      <c r="A9" s="18" t="s">
        <v>153</v>
      </c>
      <c r="B9" s="21" t="s">
        <v>154</v>
      </c>
      <c r="C9" s="19" t="s">
        <v>155</v>
      </c>
      <c r="D9" s="15"/>
      <c r="E9" s="16" t="str">
        <f aca="false">IF($D9="","",$D9+Intervals!$C$7)</f>
        <v/>
      </c>
      <c r="F9" s="15"/>
      <c r="G9" s="16" t="str">
        <f aca="false">IF($F9="","",EDATE($F9,Intervals!$C$8))</f>
        <v/>
      </c>
      <c r="H9" s="5" t="str">
        <f aca="false">IF(COUNT($E9,$G9)=0,"—",IF(MIN($E9,$G9)=$E9,"Monthly function test","Annual 90-minute test"))</f>
        <v>—</v>
      </c>
      <c r="I9" s="17" t="str">
        <f aca="true">IF(COUNT($E9,$G9)=0,"",MIN($E9,$G9)-TODAY())</f>
        <v/>
      </c>
      <c r="J9" s="13" t="str">
        <f aca="false">IF($I9="","NOT LOGGED",IF($I9&lt;=0,"OVERDUE",IF($I9&lt;=Intervals!$C$27,"DUE SOON","OK")))</f>
        <v>NOT LOGGED</v>
      </c>
      <c r="K9" s="14"/>
    </row>
    <row r="10" customFormat="false" ht="15" hidden="false" customHeight="false" outlineLevel="0" collapsed="false">
      <c r="A10" s="13" t="s">
        <v>156</v>
      </c>
      <c r="B10" s="20" t="s">
        <v>156</v>
      </c>
      <c r="C10" s="5" t="s">
        <v>157</v>
      </c>
      <c r="D10" s="15" t="n">
        <v>46226</v>
      </c>
      <c r="E10" s="16" t="n">
        <f aca="false">IF($D10="","",$D10+Intervals!$C$7)</f>
        <v>46256</v>
      </c>
      <c r="F10" s="15"/>
      <c r="G10" s="16" t="str">
        <f aca="false">IF($F10="","",EDATE($F10,Intervals!$C$8))</f>
        <v/>
      </c>
      <c r="H10" s="5" t="str">
        <f aca="false">IF(COUNT($E10,$G10)=0,"—",IF(MIN($E10,$G10)=$E10,"Monthly function test","Annual 90-minute test"))</f>
        <v>Monthly function test</v>
      </c>
      <c r="I10" s="17" t="n">
        <f aca="true">IF(COUNT($E10,$G10)=0,"",MIN($E10,$G10)-TODAY())</f>
        <v>11</v>
      </c>
      <c r="J10" s="13" t="str">
        <f aca="false">IF($I10="","NOT LOGGED",IF($I10&lt;=0,"OVERDUE",IF($I10&lt;=Intervals!$C$27,"DUE SOON","OK")))</f>
        <v>OK</v>
      </c>
      <c r="K10" s="14"/>
    </row>
    <row r="11" customFormat="false" ht="15" hidden="false" customHeight="false" outlineLevel="0" collapsed="false">
      <c r="A11" s="18" t="s">
        <v>158</v>
      </c>
      <c r="B11" s="21" t="s">
        <v>154</v>
      </c>
      <c r="C11" s="19" t="s">
        <v>77</v>
      </c>
      <c r="D11" s="15"/>
      <c r="E11" s="16" t="str">
        <f aca="false">IF($D11="","",$D11+Intervals!$C$7)</f>
        <v/>
      </c>
      <c r="F11" s="15"/>
      <c r="G11" s="16" t="str">
        <f aca="false">IF($F11="","",EDATE($F11,Intervals!$C$8))</f>
        <v/>
      </c>
      <c r="H11" s="5" t="str">
        <f aca="false">IF(COUNT($E11,$G11)=0,"—",IF(MIN($E11,$G11)=$E11,"Monthly function test","Annual 90-minute test"))</f>
        <v>—</v>
      </c>
      <c r="I11" s="17" t="str">
        <f aca="true">IF(COUNT($E11,$G11)=0,"",MIN($E11,$G11)-TODAY())</f>
        <v/>
      </c>
      <c r="J11" s="13" t="str">
        <f aca="false">IF($I11="","NOT LOGGED",IF($I11&lt;=0,"OVERDUE",IF($I11&lt;=Intervals!$C$27,"DUE SOON","OK")))</f>
        <v>NOT LOGGED</v>
      </c>
      <c r="K11" s="14"/>
    </row>
    <row r="12" customFormat="false" ht="15" hidden="false" customHeight="false" outlineLevel="0" collapsed="false">
      <c r="A12" s="13" t="s">
        <v>159</v>
      </c>
      <c r="B12" s="20" t="s">
        <v>158</v>
      </c>
      <c r="C12" s="5" t="s">
        <v>160</v>
      </c>
      <c r="D12" s="15" t="n">
        <v>46226</v>
      </c>
      <c r="E12" s="16" t="n">
        <f aca="false">IF($D12="","",$D12+Intervals!$C$7)</f>
        <v>46256</v>
      </c>
      <c r="F12" s="15"/>
      <c r="G12" s="16" t="str">
        <f aca="false">IF($F12="","",EDATE($F12,Intervals!$C$8))</f>
        <v/>
      </c>
      <c r="H12" s="5" t="str">
        <f aca="false">IF(COUNT($E12,$G12)=0,"—",IF(MIN($E12,$G12)=$E12,"Monthly function test","Annual 90-minute test"))</f>
        <v>Monthly function test</v>
      </c>
      <c r="I12" s="17" t="n">
        <f aca="true">IF(COUNT($E12,$G12)=0,"",MIN($E12,$G12)-TODAY())</f>
        <v>11</v>
      </c>
      <c r="J12" s="13" t="str">
        <f aca="false">IF($I12="","NOT LOGGED",IF($I12&lt;=0,"OVERDUE",IF($I12&lt;=Intervals!$C$27,"DUE SOON","OK")))</f>
        <v>OK</v>
      </c>
      <c r="K12" s="14"/>
    </row>
    <row r="13" customFormat="false" ht="15" hidden="false" customHeight="false" outlineLevel="0" collapsed="false">
      <c r="A13" s="18" t="s">
        <v>161</v>
      </c>
      <c r="B13" s="21" t="s">
        <v>154</v>
      </c>
      <c r="C13" s="19" t="s">
        <v>162</v>
      </c>
      <c r="D13" s="15"/>
      <c r="E13" s="16" t="str">
        <f aca="false">IF($D13="","",$D13+Intervals!$C$7)</f>
        <v/>
      </c>
      <c r="F13" s="15"/>
      <c r="G13" s="16" t="str">
        <f aca="false">IF($F13="","",EDATE($F13,Intervals!$C$8))</f>
        <v/>
      </c>
      <c r="H13" s="5" t="str">
        <f aca="false">IF(COUNT($E13,$G13)=0,"—",IF(MIN($E13,$G13)=$E13,"Monthly function test","Annual 90-minute test"))</f>
        <v>—</v>
      </c>
      <c r="I13" s="17" t="str">
        <f aca="true">IF(COUNT($E13,$G13)=0,"",MIN($E13,$G13)-TODAY())</f>
        <v/>
      </c>
      <c r="J13" s="13" t="str">
        <f aca="false">IF($I13="","NOT LOGGED",IF($I13&lt;=0,"OVERDUE",IF($I13&lt;=Intervals!$C$27,"DUE SOON","OK")))</f>
        <v>NOT LOGGED</v>
      </c>
      <c r="K13" s="14"/>
    </row>
    <row r="14" customFormat="false" ht="15" hidden="false" customHeight="false" outlineLevel="0" collapsed="false">
      <c r="A14" s="13" t="s">
        <v>163</v>
      </c>
      <c r="B14" s="20" t="s">
        <v>159</v>
      </c>
      <c r="C14" s="5" t="s">
        <v>164</v>
      </c>
      <c r="D14" s="15" t="n">
        <v>46226</v>
      </c>
      <c r="E14" s="16" t="n">
        <f aca="false">IF($D14="","",$D14+Intervals!$C$7)</f>
        <v>46256</v>
      </c>
      <c r="F14" s="15"/>
      <c r="G14" s="16" t="str">
        <f aca="false">IF($F14="","",EDATE($F14,Intervals!$C$8))</f>
        <v/>
      </c>
      <c r="H14" s="5" t="str">
        <f aca="false">IF(COUNT($E14,$G14)=0,"—",IF(MIN($E14,$G14)=$E14,"Monthly function test","Annual 90-minute test"))</f>
        <v>Monthly function test</v>
      </c>
      <c r="I14" s="17" t="n">
        <f aca="true">IF(COUNT($E14,$G14)=0,"",MIN($E14,$G14)-TODAY())</f>
        <v>11</v>
      </c>
      <c r="J14" s="13" t="str">
        <f aca="false">IF($I14="","NOT LOGGED",IF($I14&lt;=0,"OVERDUE",IF($I14&lt;=Intervals!$C$27,"DUE SOON","OK")))</f>
        <v>OK</v>
      </c>
      <c r="K14" s="14"/>
    </row>
    <row r="15" customFormat="false" ht="15" hidden="false" customHeight="false" outlineLevel="0" collapsed="false">
      <c r="A15" s="18" t="s">
        <v>165</v>
      </c>
      <c r="B15" s="21" t="s">
        <v>154</v>
      </c>
      <c r="C15" s="19" t="s">
        <v>166</v>
      </c>
      <c r="D15" s="15"/>
      <c r="E15" s="16" t="str">
        <f aca="false">IF($D15="","",$D15+Intervals!$C$7)</f>
        <v/>
      </c>
      <c r="F15" s="15"/>
      <c r="G15" s="16" t="str">
        <f aca="false">IF($F15="","",EDATE($F15,Intervals!$C$8))</f>
        <v/>
      </c>
      <c r="H15" s="5" t="str">
        <f aca="false">IF(COUNT($E15,$G15)=0,"—",IF(MIN($E15,$G15)=$E15,"Monthly function test","Annual 90-minute test"))</f>
        <v>—</v>
      </c>
      <c r="I15" s="17" t="str">
        <f aca="true">IF(COUNT($E15,$G15)=0,"",MIN($E15,$G15)-TODAY())</f>
        <v/>
      </c>
      <c r="J15" s="13" t="str">
        <f aca="false">IF($I15="","NOT LOGGED",IF($I15&lt;=0,"OVERDUE",IF($I15&lt;=Intervals!$C$27,"DUE SOON","OK")))</f>
        <v>NOT LOGGED</v>
      </c>
      <c r="K15" s="14"/>
    </row>
    <row r="16" customFormat="false" ht="15" hidden="false" customHeight="false" outlineLevel="0" collapsed="false">
      <c r="A16" s="13" t="s">
        <v>167</v>
      </c>
      <c r="B16" s="20" t="s">
        <v>161</v>
      </c>
      <c r="C16" s="5" t="s">
        <v>168</v>
      </c>
      <c r="D16" s="15" t="n">
        <v>46226</v>
      </c>
      <c r="E16" s="16" t="n">
        <f aca="false">IF($D16="","",$D16+Intervals!$C$7)</f>
        <v>46256</v>
      </c>
      <c r="F16" s="15"/>
      <c r="G16" s="16" t="str">
        <f aca="false">IF($F16="","",EDATE($F16,Intervals!$C$8))</f>
        <v/>
      </c>
      <c r="H16" s="5" t="str">
        <f aca="false">IF(COUNT($E16,$G16)=0,"—",IF(MIN($E16,$G16)=$E16,"Monthly function test","Annual 90-minute test"))</f>
        <v>Monthly function test</v>
      </c>
      <c r="I16" s="17" t="n">
        <f aca="true">IF(COUNT($E16,$G16)=0,"",MIN($E16,$G16)-TODAY())</f>
        <v>11</v>
      </c>
      <c r="J16" s="13" t="str">
        <f aca="false">IF($I16="","NOT LOGGED",IF($I16&lt;=0,"OVERDUE",IF($I16&lt;=Intervals!$C$27,"DUE SOON","OK")))</f>
        <v>OK</v>
      </c>
      <c r="K16" s="14"/>
    </row>
    <row r="17" customFormat="false" ht="15" hidden="false" customHeight="false" outlineLevel="0" collapsed="false">
      <c r="A17" s="18" t="s">
        <v>169</v>
      </c>
      <c r="B17" s="21" t="s">
        <v>154</v>
      </c>
      <c r="C17" s="19" t="s">
        <v>170</v>
      </c>
      <c r="D17" s="15"/>
      <c r="E17" s="16" t="str">
        <f aca="false">IF($D17="","",$D17+Intervals!$C$7)</f>
        <v/>
      </c>
      <c r="F17" s="15"/>
      <c r="G17" s="16" t="str">
        <f aca="false">IF($F17="","",EDATE($F17,Intervals!$C$8))</f>
        <v/>
      </c>
      <c r="H17" s="5" t="str">
        <f aca="false">IF(COUNT($E17,$G17)=0,"—",IF(MIN($E17,$G17)=$E17,"Monthly function test","Annual 90-minute test"))</f>
        <v>—</v>
      </c>
      <c r="I17" s="17" t="str">
        <f aca="true">IF(COUNT($E17,$G17)=0,"",MIN($E17,$G17)-TODAY())</f>
        <v/>
      </c>
      <c r="J17" s="13" t="str">
        <f aca="false">IF($I17="","NOT LOGGED",IF($I17&lt;=0,"OVERDUE",IF($I17&lt;=Intervals!$C$27,"DUE SOON","OK")))</f>
        <v>NOT LOGGED</v>
      </c>
      <c r="K17" s="14"/>
    </row>
    <row r="18" customFormat="false" ht="15" hidden="false" customHeight="false" outlineLevel="0" collapsed="false">
      <c r="A18" s="13" t="s">
        <v>171</v>
      </c>
      <c r="B18" s="20" t="s">
        <v>165</v>
      </c>
      <c r="C18" s="5" t="s">
        <v>172</v>
      </c>
      <c r="D18" s="15" t="n">
        <v>46226</v>
      </c>
      <c r="E18" s="16" t="n">
        <f aca="false">IF($D18="","",$D18+Intervals!$C$7)</f>
        <v>46256</v>
      </c>
      <c r="F18" s="15"/>
      <c r="G18" s="16" t="str">
        <f aca="false">IF($F18="","",EDATE($F18,Intervals!$C$8))</f>
        <v/>
      </c>
      <c r="H18" s="5" t="str">
        <f aca="false">IF(COUNT($E18,$G18)=0,"—",IF(MIN($E18,$G18)=$E18,"Monthly function test","Annual 90-minute test"))</f>
        <v>Monthly function test</v>
      </c>
      <c r="I18" s="17" t="n">
        <f aca="true">IF(COUNT($E18,$G18)=0,"",MIN($E18,$G18)-TODAY())</f>
        <v>11</v>
      </c>
      <c r="J18" s="13" t="str">
        <f aca="false">IF($I18="","NOT LOGGED",IF($I18&lt;=0,"OVERDUE",IF($I18&lt;=Intervals!$C$27,"DUE SOON","OK")))</f>
        <v>OK</v>
      </c>
      <c r="K18" s="14"/>
    </row>
    <row r="19" customFormat="false" ht="15" hidden="false" customHeight="false" outlineLevel="0" collapsed="false">
      <c r="A19" s="13" t="s">
        <v>173</v>
      </c>
      <c r="B19" s="20" t="s">
        <v>167</v>
      </c>
      <c r="C19" s="5" t="s">
        <v>174</v>
      </c>
      <c r="D19" s="15" t="n">
        <v>46226</v>
      </c>
      <c r="E19" s="16" t="n">
        <f aca="false">IF($D19="","",$D19+Intervals!$C$7)</f>
        <v>46256</v>
      </c>
      <c r="F19" s="15"/>
      <c r="G19" s="16" t="str">
        <f aca="false">IF($F19="","",EDATE($F19,Intervals!$C$8))</f>
        <v/>
      </c>
      <c r="H19" s="5" t="str">
        <f aca="false">IF(COUNT($E19,$G19)=0,"—",IF(MIN($E19,$G19)=$E19,"Monthly function test","Annual 90-minute test"))</f>
        <v>Monthly function test</v>
      </c>
      <c r="I19" s="17" t="n">
        <f aca="true">IF(COUNT($E19,$G19)=0,"",MIN($E19,$G19)-TODAY())</f>
        <v>11</v>
      </c>
      <c r="J19" s="13" t="str">
        <f aca="false">IF($I19="","NOT LOGGED",IF($I19&lt;=0,"OVERDUE",IF($I19&lt;=Intervals!$C$27,"DUE SOON","OK")))</f>
        <v>OK</v>
      </c>
      <c r="K19" s="14"/>
    </row>
    <row r="20" customFormat="false" ht="15" hidden="false" customHeight="false" outlineLevel="0" collapsed="false">
      <c r="A20" s="13" t="s">
        <v>175</v>
      </c>
      <c r="B20" s="20" t="s">
        <v>163</v>
      </c>
      <c r="C20" s="5" t="s">
        <v>86</v>
      </c>
      <c r="D20" s="15" t="n">
        <v>46226</v>
      </c>
      <c r="E20" s="16" t="n">
        <f aca="false">IF($D20="","",$D20+Intervals!$C$7)</f>
        <v>46256</v>
      </c>
      <c r="F20" s="15"/>
      <c r="G20" s="16" t="str">
        <f aca="false">IF($F20="","",EDATE($F20,Intervals!$C$8))</f>
        <v/>
      </c>
      <c r="H20" s="5" t="str">
        <f aca="false">IF(COUNT($E20,$G20)=0,"—",IF(MIN($E20,$G20)=$E20,"Monthly function test","Annual 90-minute test"))</f>
        <v>Monthly function test</v>
      </c>
      <c r="I20" s="17" t="n">
        <f aca="true">IF(COUNT($E20,$G20)=0,"",MIN($E20,$G20)-TODAY())</f>
        <v>11</v>
      </c>
      <c r="J20" s="13" t="str">
        <f aca="false">IF($I20="","NOT LOGGED",IF($I20&lt;=0,"OVERDUE",IF($I20&lt;=Intervals!$C$27,"DUE SOON","OK")))</f>
        <v>OK</v>
      </c>
      <c r="K20" s="14"/>
    </row>
    <row r="21" customFormat="false" ht="15" hidden="false" customHeight="false" outlineLevel="0" collapsed="false">
      <c r="A21" s="13" t="s">
        <v>176</v>
      </c>
      <c r="B21" s="20" t="s">
        <v>153</v>
      </c>
      <c r="C21" s="5" t="s">
        <v>177</v>
      </c>
      <c r="D21" s="15" t="n">
        <v>46226</v>
      </c>
      <c r="E21" s="16" t="n">
        <f aca="false">IF($D21="","",$D21+Intervals!$C$7)</f>
        <v>46256</v>
      </c>
      <c r="F21" s="15"/>
      <c r="G21" s="16" t="str">
        <f aca="false">IF($F21="","",EDATE($F21,Intervals!$C$8))</f>
        <v/>
      </c>
      <c r="H21" s="5" t="str">
        <f aca="false">IF(COUNT($E21,$G21)=0,"—",IF(MIN($E21,$G21)=$E21,"Monthly function test","Annual 90-minute test"))</f>
        <v>Monthly function test</v>
      </c>
      <c r="I21" s="17" t="n">
        <f aca="true">IF(COUNT($E21,$G21)=0,"",MIN($E21,$G21)-TODAY())</f>
        <v>11</v>
      </c>
      <c r="J21" s="13" t="str">
        <f aca="false">IF($I21="","NOT LOGGED",IF($I21&lt;=0,"OVERDUE",IF($I21&lt;=Intervals!$C$27,"DUE SOON","OK")))</f>
        <v>OK</v>
      </c>
      <c r="K21" s="14"/>
    </row>
    <row r="22" customFormat="false" ht="15" hidden="false" customHeight="false" outlineLevel="0" collapsed="false">
      <c r="A22" s="13" t="s">
        <v>178</v>
      </c>
      <c r="B22" s="20" t="s">
        <v>169</v>
      </c>
      <c r="C22" s="5" t="s">
        <v>95</v>
      </c>
      <c r="D22" s="15" t="n">
        <v>46226</v>
      </c>
      <c r="E22" s="16" t="n">
        <f aca="false">IF($D22="","",$D22+Intervals!$C$7)</f>
        <v>46256</v>
      </c>
      <c r="F22" s="15"/>
      <c r="G22" s="16" t="str">
        <f aca="false">IF($F22="","",EDATE($F22,Intervals!$C$8))</f>
        <v/>
      </c>
      <c r="H22" s="5" t="str">
        <f aca="false">IF(COUNT($E22,$G22)=0,"—",IF(MIN($E22,$G22)=$E22,"Monthly function test","Annual 90-minute test"))</f>
        <v>Monthly function test</v>
      </c>
      <c r="I22" s="17" t="n">
        <f aca="true">IF(COUNT($E22,$G22)=0,"",MIN($E22,$G22)-TODAY())</f>
        <v>11</v>
      </c>
      <c r="J22" s="13" t="str">
        <f aca="false">IF($I22="","NOT LOGGED",IF($I22&lt;=0,"OVERDUE",IF($I22&lt;=Intervals!$C$27,"DUE SOON","OK")))</f>
        <v>OK</v>
      </c>
      <c r="K22" s="14"/>
    </row>
    <row r="23" customFormat="false" ht="15" hidden="false" customHeight="false" outlineLevel="0" collapsed="false">
      <c r="A23" s="13" t="s">
        <v>179</v>
      </c>
      <c r="B23" s="20" t="s">
        <v>173</v>
      </c>
      <c r="C23" s="5" t="s">
        <v>125</v>
      </c>
      <c r="D23" s="15" t="n">
        <v>46226</v>
      </c>
      <c r="E23" s="16" t="n">
        <f aca="false">IF($D23="","",$D23+Intervals!$C$7)</f>
        <v>46256</v>
      </c>
      <c r="F23" s="15"/>
      <c r="G23" s="16" t="str">
        <f aca="false">IF($F23="","",EDATE($F23,Intervals!$C$8))</f>
        <v/>
      </c>
      <c r="H23" s="5" t="str">
        <f aca="false">IF(COUNT($E23,$G23)=0,"—",IF(MIN($E23,$G23)=$E23,"Monthly function test","Annual 90-minute test"))</f>
        <v>Monthly function test</v>
      </c>
      <c r="I23" s="17" t="n">
        <f aca="true">IF(COUNT($E23,$G23)=0,"",MIN($E23,$G23)-TODAY())</f>
        <v>11</v>
      </c>
      <c r="J23" s="13" t="str">
        <f aca="false">IF($I23="","NOT LOGGED",IF($I23&lt;=0,"OVERDUE",IF($I23&lt;=Intervals!$C$27,"DUE SOON","OK")))</f>
        <v>OK</v>
      </c>
      <c r="K23" s="14"/>
    </row>
    <row r="24" customFormat="false" ht="15" hidden="false" customHeight="false" outlineLevel="0" collapsed="false">
      <c r="A24" s="13" t="s">
        <v>180</v>
      </c>
      <c r="B24" s="20" t="s">
        <v>171</v>
      </c>
      <c r="C24" s="5" t="s">
        <v>122</v>
      </c>
      <c r="D24" s="15" t="n">
        <v>46226</v>
      </c>
      <c r="E24" s="16" t="n">
        <f aca="false">IF($D24="","",$D24+Intervals!$C$7)</f>
        <v>46256</v>
      </c>
      <c r="F24" s="15"/>
      <c r="G24" s="16" t="str">
        <f aca="false">IF($F24="","",EDATE($F24,Intervals!$C$8))</f>
        <v/>
      </c>
      <c r="H24" s="5" t="str">
        <f aca="false">IF(COUNT($E24,$G24)=0,"—",IF(MIN($E24,$G24)=$E24,"Monthly function test","Annual 90-minute test"))</f>
        <v>Monthly function test</v>
      </c>
      <c r="I24" s="17" t="n">
        <f aca="true">IF(COUNT($E24,$G24)=0,"",MIN($E24,$G24)-TODAY())</f>
        <v>11</v>
      </c>
      <c r="J24" s="13" t="str">
        <f aca="false">IF($I24="","NOT LOGGED",IF($I24&lt;=0,"OVERDUE",IF($I24&lt;=Intervals!$C$27,"DUE SOON","OK")))</f>
        <v>OK</v>
      </c>
      <c r="K24" s="14"/>
    </row>
    <row r="25" customFormat="false" ht="15" hidden="false" customHeight="false" outlineLevel="0" collapsed="false">
      <c r="A25" s="13" t="s">
        <v>181</v>
      </c>
      <c r="B25" s="20" t="s">
        <v>175</v>
      </c>
      <c r="C25" s="5" t="s">
        <v>182</v>
      </c>
      <c r="D25" s="15" t="n">
        <v>46226</v>
      </c>
      <c r="E25" s="16" t="n">
        <f aca="false">IF($D25="","",$D25+Intervals!$C$7)</f>
        <v>46256</v>
      </c>
      <c r="F25" s="15"/>
      <c r="G25" s="16" t="str">
        <f aca="false">IF($F25="","",EDATE($F25,Intervals!$C$8))</f>
        <v/>
      </c>
      <c r="H25" s="5" t="str">
        <f aca="false">IF(COUNT($E25,$G25)=0,"—",IF(MIN($E25,$G25)=$E25,"Monthly function test","Annual 90-minute test"))</f>
        <v>Monthly function test</v>
      </c>
      <c r="I25" s="17" t="n">
        <f aca="true">IF(COUNT($E25,$G25)=0,"",MIN($E25,$G25)-TODAY())</f>
        <v>11</v>
      </c>
      <c r="J25" s="13" t="str">
        <f aca="false">IF($I25="","NOT LOGGED",IF($I25&lt;=0,"OVERDUE",IF($I25&lt;=Intervals!$C$27,"DUE SOON","OK")))</f>
        <v>OK</v>
      </c>
      <c r="K25" s="14"/>
    </row>
    <row r="26" customFormat="false" ht="15" hidden="false" customHeight="false" outlineLevel="0" collapsed="false">
      <c r="A26" s="13" t="s">
        <v>183</v>
      </c>
      <c r="B26" s="20" t="s">
        <v>176</v>
      </c>
      <c r="C26" s="5" t="s">
        <v>184</v>
      </c>
      <c r="D26" s="15" t="n">
        <v>46226</v>
      </c>
      <c r="E26" s="16" t="n">
        <f aca="false">IF($D26="","",$D26+Intervals!$C$7)</f>
        <v>46256</v>
      </c>
      <c r="F26" s="15"/>
      <c r="G26" s="16" t="str">
        <f aca="false">IF($F26="","",EDATE($F26,Intervals!$C$8))</f>
        <v/>
      </c>
      <c r="H26" s="5" t="str">
        <f aca="false">IF(COUNT($E26,$G26)=0,"—",IF(MIN($E26,$G26)=$E26,"Monthly function test","Annual 90-minute test"))</f>
        <v>Monthly function test</v>
      </c>
      <c r="I26" s="17" t="n">
        <f aca="true">IF(COUNT($E26,$G26)=0,"",MIN($E26,$G26)-TODAY())</f>
        <v>11</v>
      </c>
      <c r="J26" s="13" t="str">
        <f aca="false">IF($I26="","NOT LOGGED",IF($I26&lt;=0,"OVERDUE",IF($I26&lt;=Intervals!$C$27,"DUE SOON","OK")))</f>
        <v>OK</v>
      </c>
      <c r="K26" s="14"/>
    </row>
    <row r="27" customFormat="false" ht="15" hidden="false" customHeight="false" outlineLevel="0" collapsed="false">
      <c r="A27" s="18" t="s">
        <v>185</v>
      </c>
      <c r="B27" s="21" t="s">
        <v>154</v>
      </c>
      <c r="C27" s="19" t="s">
        <v>186</v>
      </c>
      <c r="D27" s="15"/>
      <c r="E27" s="16" t="str">
        <f aca="false">IF($D27="","",$D27+Intervals!$C$7)</f>
        <v/>
      </c>
      <c r="F27" s="15"/>
      <c r="G27" s="16" t="str">
        <f aca="false">IF($F27="","",EDATE($F27,Intervals!$C$8))</f>
        <v/>
      </c>
      <c r="H27" s="5" t="str">
        <f aca="false">IF(COUNT($E27,$G27)=0,"—",IF(MIN($E27,$G27)=$E27,"Monthly function test","Annual 90-minute test"))</f>
        <v>—</v>
      </c>
      <c r="I27" s="17" t="str">
        <f aca="true">IF(COUNT($E27,$G27)=0,"",MIN($E27,$G27)-TODAY())</f>
        <v/>
      </c>
      <c r="J27" s="13" t="str">
        <f aca="false">IF($I27="","NOT LOGGED",IF($I27&lt;=0,"OVERDUE",IF($I27&lt;=Intervals!$C$27,"DUE SOON","OK")))</f>
        <v>NOT LOGGED</v>
      </c>
      <c r="K27" s="14"/>
    </row>
    <row r="28" customFormat="false" ht="15" hidden="false" customHeight="false" outlineLevel="0" collapsed="false">
      <c r="A28" s="18" t="s">
        <v>187</v>
      </c>
      <c r="B28" s="21" t="s">
        <v>154</v>
      </c>
      <c r="C28" s="19" t="s">
        <v>188</v>
      </c>
      <c r="D28" s="15"/>
      <c r="E28" s="16" t="str">
        <f aca="false">IF($D28="","",$D28+Intervals!$C$7)</f>
        <v/>
      </c>
      <c r="F28" s="15"/>
      <c r="G28" s="16" t="str">
        <f aca="false">IF($F28="","",EDATE($F28,Intervals!$C$8))</f>
        <v/>
      </c>
      <c r="H28" s="5" t="str">
        <f aca="false">IF(COUNT($E28,$G28)=0,"—",IF(MIN($E28,$G28)=$E28,"Monthly function test","Annual 90-minute test"))</f>
        <v>—</v>
      </c>
      <c r="I28" s="17" t="str">
        <f aca="true">IF(COUNT($E28,$G28)=0,"",MIN($E28,$G28)-TODAY())</f>
        <v/>
      </c>
      <c r="J28" s="13" t="str">
        <f aca="false">IF($I28="","NOT LOGGED",IF($I28&lt;=0,"OVERDUE",IF($I28&lt;=Intervals!$C$27,"DUE SOON","OK")))</f>
        <v>NOT LOGGED</v>
      </c>
      <c r="K28" s="14"/>
    </row>
    <row r="30" customFormat="false" ht="15" hidden="false" customHeight="false" outlineLevel="0" collapsed="false">
      <c r="A30" s="2" t="s">
        <v>189</v>
      </c>
    </row>
    <row r="31" customFormat="false" ht="15" hidden="false" customHeight="false" outlineLevel="0" collapsed="false">
      <c r="A31" s="2" t="s">
        <v>190</v>
      </c>
    </row>
    <row r="32" customFormat="false" ht="15" hidden="false" customHeight="false" outlineLevel="0" collapsed="false">
      <c r="A32" s="2" t="s">
        <v>191</v>
      </c>
    </row>
  </sheetData>
  <mergeCells count="3">
    <mergeCell ref="A1:K1"/>
    <mergeCell ref="A2:K2"/>
    <mergeCell ref="A3:K3"/>
  </mergeCells>
  <conditionalFormatting sqref="J6:J28">
    <cfRule type="cellIs" priority="2" operator="equal" aboveAverage="0" equalAverage="0" bottom="0" percent="0" rank="0" text="" dxfId="0">
      <formula>"OK"</formula>
    </cfRule>
    <cfRule type="cellIs" priority="3" operator="equal" aboveAverage="0" equalAverage="0" bottom="0" percent="0" rank="0" text="" dxfId="1">
      <formula>"DUE SOON"</formula>
    </cfRule>
    <cfRule type="cellIs" priority="4" operator="equal" aboveAverage="0" equalAverage="0" bottom="0" percent="0" rank="0" text="" dxfId="2">
      <formula>"OVERDUE"</formula>
    </cfRule>
    <cfRule type="cellIs" priority="5" operator="equal" aboveAverage="0" equalAverage="0" bottom="0" percent="0" rank="0" text="" dxfId="3">
      <formula>"NOT LOGGED"</formula>
    </cfRule>
  </conditionalFormatting>
  <conditionalFormatting sqref="E6:E28">
    <cfRule type="expression" priority="6" aboveAverage="0" equalAverage="0" bottom="0" percent="0" rank="0" text="" dxfId="2">
      <formula>AND(ISNUMBER(E6),E6&lt;=TODAY())</formula>
    </cfRule>
    <cfRule type="expression" priority="7" aboveAverage="0" equalAverage="0" bottom="0" percent="0" rank="0" text="" dxfId="1">
      <formula>AND(ISNUMBER(E6),E6&lt;=TODAY()+60)</formula>
    </cfRule>
  </conditionalFormatting>
  <conditionalFormatting sqref="G6:G28">
    <cfRule type="expression" priority="8" aboveAverage="0" equalAverage="0" bottom="0" percent="0" rank="0" text="" dxfId="2">
      <formula>AND(ISNUMBER(G6),G6&lt;=TODAY())</formula>
    </cfRule>
    <cfRule type="expression" priority="9" aboveAverage="0" equalAverage="0" bottom="0" percent="0" rank="0" text="" dxfId="1">
      <formula>AND(ISNUMBER(G6),G6&lt;=TODAY()+60)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6"/>
    <col collapsed="false" customWidth="true" hidden="false" outlineLevel="0" max="5" min="4" style="0" width="13"/>
    <col collapsed="false" customWidth="true" hidden="false" outlineLevel="0" max="7" min="6" style="0" width="15"/>
    <col collapsed="false" customWidth="true" hidden="false" outlineLevel="0" max="9" min="8" style="0" width="13"/>
    <col collapsed="false" customWidth="true" hidden="false" outlineLevel="0" max="10" min="10" style="0" width="19"/>
    <col collapsed="false" customWidth="true" hidden="false" outlineLevel="0" max="11" min="11" style="0" width="10"/>
    <col collapsed="false" customWidth="true" hidden="false" outlineLevel="0" max="12" min="12" style="0" width="13"/>
    <col collapsed="false" customWidth="true" hidden="false" outlineLevel="0" max="13" min="13" style="0" width="26"/>
  </cols>
  <sheetData>
    <row r="1" customFormat="false" ht="17.35" hidden="false" customHeight="false" outlineLevel="0" collapsed="false">
      <c r="A1" s="9" t="s">
        <v>192</v>
      </c>
      <c r="B1" s="9"/>
      <c r="C1" s="9"/>
      <c r="D1" s="9"/>
      <c r="E1" s="9"/>
      <c r="F1" s="9"/>
      <c r="G1" s="9"/>
      <c r="H1" s="9"/>
      <c r="I1" s="9"/>
      <c r="J1" s="9"/>
      <c r="K1" s="9"/>
      <c r="L1" s="9"/>
      <c r="M1" s="9"/>
    </row>
    <row r="2" customFormat="false" ht="30" hidden="false" customHeight="true" outlineLevel="0" collapsed="false">
      <c r="A2" s="10" t="s">
        <v>193</v>
      </c>
      <c r="B2" s="10"/>
      <c r="C2" s="10"/>
      <c r="D2" s="10"/>
      <c r="E2" s="10"/>
      <c r="F2" s="10"/>
      <c r="G2" s="10"/>
      <c r="H2" s="10"/>
      <c r="I2" s="10"/>
      <c r="J2" s="10"/>
      <c r="K2" s="10"/>
      <c r="L2" s="10"/>
      <c r="M2" s="10"/>
    </row>
    <row r="3" customFormat="false" ht="25.5" hidden="false" customHeight="true" outlineLevel="0" collapsed="false">
      <c r="A3" s="11" t="s">
        <v>194</v>
      </c>
      <c r="B3" s="11"/>
      <c r="C3" s="11"/>
      <c r="D3" s="11"/>
      <c r="E3" s="11"/>
      <c r="F3" s="11"/>
      <c r="G3" s="11"/>
      <c r="H3" s="11"/>
      <c r="I3" s="11"/>
      <c r="J3" s="11"/>
      <c r="K3" s="11"/>
      <c r="L3" s="11"/>
      <c r="M3" s="11"/>
    </row>
    <row r="5" customFormat="false" ht="33.75" hidden="false" customHeight="true" outlineLevel="0" collapsed="false">
      <c r="A5" s="12" t="s">
        <v>195</v>
      </c>
      <c r="B5" s="12" t="s">
        <v>58</v>
      </c>
      <c r="C5" s="12" t="s">
        <v>59</v>
      </c>
      <c r="D5" s="12" t="s">
        <v>196</v>
      </c>
      <c r="E5" s="12" t="s">
        <v>197</v>
      </c>
      <c r="F5" s="12" t="s">
        <v>198</v>
      </c>
      <c r="G5" s="12" t="s">
        <v>199</v>
      </c>
      <c r="H5" s="12" t="s">
        <v>200</v>
      </c>
      <c r="I5" s="12" t="s">
        <v>201</v>
      </c>
      <c r="J5" s="12" t="s">
        <v>69</v>
      </c>
      <c r="K5" s="12" t="s">
        <v>70</v>
      </c>
      <c r="L5" s="12" t="s">
        <v>71</v>
      </c>
      <c r="M5" s="12" t="s">
        <v>72</v>
      </c>
    </row>
    <row r="6" customFormat="false" ht="15" hidden="false" customHeight="false" outlineLevel="0" collapsed="false">
      <c r="A6" s="18" t="s">
        <v>202</v>
      </c>
      <c r="B6" s="19" t="s">
        <v>203</v>
      </c>
      <c r="C6" s="14" t="s">
        <v>43</v>
      </c>
      <c r="D6" s="15" t="n">
        <v>46226</v>
      </c>
      <c r="E6" s="16" t="n">
        <f aca="false">IF($D6="","",$D6+Intervals!$C$9)</f>
        <v>46233</v>
      </c>
      <c r="F6" s="15"/>
      <c r="G6" s="16" t="str">
        <f aca="false">IF($F6="","",EDATE($F6,Intervals!$C$10))</f>
        <v/>
      </c>
      <c r="H6" s="15"/>
      <c r="I6" s="16" t="str">
        <f aca="false">IF($C6="","",IF(INDEX(Intervals!$B$22:$B$24,MATCH($C6,Intervals!$A$22:$A$24,0))=0,"N/A",IF($H6="","",EDATE($H6,INDEX(Intervals!$B$22:$B$24,MATCH($C6,Intervals!$A$22:$A$24,0))))))</f>
        <v>N/A</v>
      </c>
      <c r="J6" s="5" t="str">
        <f aca="false">IF(COUNT($E6,$G6,$I6)=0,"—",IF(MIN($E6,$G6,$I6)=$E6,"Weekly activation",IF(MIN($E6,$G6,$I6)=$G6,"Annual inspection","Fluid change")))</f>
        <v>Weekly activation</v>
      </c>
      <c r="K6" s="17" t="n">
        <f aca="true">IF(COUNT($E6,$G6,$I6)=0,"",MIN($E6,$G6,$I6)-TODAY())</f>
        <v>-12</v>
      </c>
      <c r="L6" s="13" t="str">
        <f aca="false">IF($K6="","NOT LOGGED",IF($K6&lt;=0,"OVERDUE",IF($K6&lt;=Intervals!$C$28,"DUE SOON","OK")))</f>
        <v>OVERDUE</v>
      </c>
      <c r="M6" s="14" t="s">
        <v>204</v>
      </c>
    </row>
    <row r="7" customFormat="false" ht="15" hidden="false" customHeight="false" outlineLevel="0" collapsed="false">
      <c r="A7" s="18" t="s">
        <v>205</v>
      </c>
      <c r="B7" s="19" t="s">
        <v>206</v>
      </c>
      <c r="C7" s="14" t="s">
        <v>47</v>
      </c>
      <c r="D7" s="15" t="n">
        <v>46226</v>
      </c>
      <c r="E7" s="16" t="n">
        <f aca="false">IF($D7="","",$D7+Intervals!$C$9)</f>
        <v>46233</v>
      </c>
      <c r="F7" s="15"/>
      <c r="G7" s="16" t="str">
        <f aca="false">IF($F7="","",EDATE($F7,Intervals!$C$10))</f>
        <v/>
      </c>
      <c r="H7" s="15"/>
      <c r="I7" s="16" t="str">
        <f aca="false">IF($C7="","",IF(INDEX(Intervals!$B$22:$B$24,MATCH($C7,Intervals!$A$22:$A$24,0))=0,"N/A",IF($H7="","",EDATE($H7,INDEX(Intervals!$B$22:$B$24,MATCH($C7,Intervals!$A$22:$A$24,0))))))</f>
        <v/>
      </c>
      <c r="J7" s="5" t="str">
        <f aca="false">IF(COUNT($E7,$G7,$I7)=0,"—",IF(MIN($E7,$G7,$I7)=$E7,"Weekly activation",IF(MIN($E7,$G7,$I7)=$G7,"Annual inspection","Fluid change")))</f>
        <v>Weekly activation</v>
      </c>
      <c r="K7" s="17" t="n">
        <f aca="true">IF(COUNT($E7,$G7,$I7)=0,"",MIN($E7,$G7,$I7)-TODAY())</f>
        <v>-12</v>
      </c>
      <c r="L7" s="13" t="str">
        <f aca="false">IF($K7="","NOT LOGGED",IF($K7&lt;=0,"OVERDUE",IF($K7&lt;=Intervals!$C$28,"DUE SOON","OK")))</f>
        <v>OVERDUE</v>
      </c>
      <c r="M7" s="14" t="s">
        <v>207</v>
      </c>
    </row>
    <row r="8" customFormat="false" ht="15" hidden="false" customHeight="false" outlineLevel="0" collapsed="false">
      <c r="A8" s="18" t="s">
        <v>208</v>
      </c>
      <c r="B8" s="19" t="s">
        <v>209</v>
      </c>
      <c r="C8" s="14" t="s">
        <v>43</v>
      </c>
      <c r="D8" s="15" t="n">
        <v>46226</v>
      </c>
      <c r="E8" s="16" t="n">
        <f aca="false">IF($D8="","",$D8+Intervals!$C$9)</f>
        <v>46233</v>
      </c>
      <c r="F8" s="15"/>
      <c r="G8" s="16" t="str">
        <f aca="false">IF($F8="","",EDATE($F8,Intervals!$C$10))</f>
        <v/>
      </c>
      <c r="H8" s="15"/>
      <c r="I8" s="16" t="str">
        <f aca="false">IF($C8="","",IF(INDEX(Intervals!$B$22:$B$24,MATCH($C8,Intervals!$A$22:$A$24,0))=0,"N/A",IF($H8="","",EDATE($H8,INDEX(Intervals!$B$22:$B$24,MATCH($C8,Intervals!$A$22:$A$24,0))))))</f>
        <v>N/A</v>
      </c>
      <c r="J8" s="5" t="str">
        <f aca="false">IF(COUNT($E8,$G8,$I8)=0,"—",IF(MIN($E8,$G8,$I8)=$E8,"Weekly activation",IF(MIN($E8,$G8,$I8)=$G8,"Annual inspection","Fluid change")))</f>
        <v>Weekly activation</v>
      </c>
      <c r="K8" s="17" t="n">
        <f aca="true">IF(COUNT($E8,$G8,$I8)=0,"",MIN($E8,$G8,$I8)-TODAY())</f>
        <v>-12</v>
      </c>
      <c r="L8" s="13" t="str">
        <f aca="false">IF($K8="","NOT LOGGED",IF($K8&lt;=0,"OVERDUE",IF($K8&lt;=Intervals!$C$28,"DUE SOON","OK")))</f>
        <v>OVERDUE</v>
      </c>
      <c r="M8" s="14" t="s">
        <v>210</v>
      </c>
    </row>
    <row r="9" customFormat="false" ht="15" hidden="false" customHeight="false" outlineLevel="0" collapsed="false">
      <c r="A9" s="18" t="s">
        <v>211</v>
      </c>
      <c r="B9" s="19" t="s">
        <v>212</v>
      </c>
      <c r="C9" s="14" t="s">
        <v>43</v>
      </c>
      <c r="D9" s="15" t="n">
        <v>46226</v>
      </c>
      <c r="E9" s="16" t="n">
        <f aca="false">IF($D9="","",$D9+Intervals!$C$9)</f>
        <v>46233</v>
      </c>
      <c r="F9" s="15"/>
      <c r="G9" s="16" t="str">
        <f aca="false">IF($F9="","",EDATE($F9,Intervals!$C$10))</f>
        <v/>
      </c>
      <c r="H9" s="15"/>
      <c r="I9" s="16" t="str">
        <f aca="false">IF($C9="","",IF(INDEX(Intervals!$B$22:$B$24,MATCH($C9,Intervals!$A$22:$A$24,0))=0,"N/A",IF($H9="","",EDATE($H9,INDEX(Intervals!$B$22:$B$24,MATCH($C9,Intervals!$A$22:$A$24,0))))))</f>
        <v>N/A</v>
      </c>
      <c r="J9" s="5" t="str">
        <f aca="false">IF(COUNT($E9,$G9,$I9)=0,"—",IF(MIN($E9,$G9,$I9)=$E9,"Weekly activation",IF(MIN($E9,$G9,$I9)=$G9,"Annual inspection","Fluid change")))</f>
        <v>Weekly activation</v>
      </c>
      <c r="K9" s="17" t="n">
        <f aca="true">IF(COUNT($E9,$G9,$I9)=0,"",MIN($E9,$G9,$I9)-TODAY())</f>
        <v>-12</v>
      </c>
      <c r="L9" s="13" t="str">
        <f aca="false">IF($K9="","NOT LOGGED",IF($K9&lt;=0,"OVERDUE",IF($K9&lt;=Intervals!$C$28,"DUE SOON","OK")))</f>
        <v>OVERDUE</v>
      </c>
      <c r="M9" s="14" t="s">
        <v>213</v>
      </c>
    </row>
    <row r="11" customFormat="false" ht="15" hidden="false" customHeight="false" outlineLevel="0" collapsed="false">
      <c r="A11" s="2" t="s">
        <v>214</v>
      </c>
    </row>
    <row r="12" customFormat="false" ht="15" hidden="false" customHeight="false" outlineLevel="0" collapsed="false">
      <c r="A12" s="2" t="s">
        <v>215</v>
      </c>
    </row>
    <row r="13" customFormat="false" ht="15" hidden="false" customHeight="false" outlineLevel="0" collapsed="false">
      <c r="A13" s="2" t="s">
        <v>216</v>
      </c>
    </row>
    <row r="14" customFormat="false" ht="15" hidden="false" customHeight="false" outlineLevel="0" collapsed="false">
      <c r="A14" s="2" t="s">
        <v>217</v>
      </c>
    </row>
    <row r="15" customFormat="false" ht="15" hidden="false" customHeight="false" outlineLevel="0" collapsed="false">
      <c r="A15" s="22" t="s">
        <v>218</v>
      </c>
    </row>
  </sheetData>
  <mergeCells count="3">
    <mergeCell ref="A1:M1"/>
    <mergeCell ref="A2:M2"/>
    <mergeCell ref="A3:M3"/>
  </mergeCells>
  <conditionalFormatting sqref="L6:L9">
    <cfRule type="cellIs" priority="2" operator="equal" aboveAverage="0" equalAverage="0" bottom="0" percent="0" rank="0" text="" dxfId="0">
      <formula>"OK"</formula>
    </cfRule>
    <cfRule type="cellIs" priority="3" operator="equal" aboveAverage="0" equalAverage="0" bottom="0" percent="0" rank="0" text="" dxfId="1">
      <formula>"DUE SOON"</formula>
    </cfRule>
    <cfRule type="cellIs" priority="4" operator="equal" aboveAverage="0" equalAverage="0" bottom="0" percent="0" rank="0" text="" dxfId="2">
      <formula>"OVERDUE"</formula>
    </cfRule>
    <cfRule type="cellIs" priority="5" operator="equal" aboveAverage="0" equalAverage="0" bottom="0" percent="0" rank="0" text="" dxfId="3">
      <formula>"NOT LOGGED"</formula>
    </cfRule>
  </conditionalFormatting>
  <conditionalFormatting sqref="E6:E9">
    <cfRule type="expression" priority="6" aboveAverage="0" equalAverage="0" bottom="0" percent="0" rank="0" text="" dxfId="2">
      <formula>AND(ISNUMBER(E6),E6&lt;=TODAY())</formula>
    </cfRule>
    <cfRule type="expression" priority="7" aboveAverage="0" equalAverage="0" bottom="0" percent="0" rank="0" text="" dxfId="1">
      <formula>AND(ISNUMBER(E6),E6&lt;=TODAY()+60)</formula>
    </cfRule>
  </conditionalFormatting>
  <conditionalFormatting sqref="G6:G9">
    <cfRule type="expression" priority="8" aboveAverage="0" equalAverage="0" bottom="0" percent="0" rank="0" text="" dxfId="2">
      <formula>AND(ISNUMBER(G6),G6&lt;=TODAY())</formula>
    </cfRule>
    <cfRule type="expression" priority="9" aboveAverage="0" equalAverage="0" bottom="0" percent="0" rank="0" text="" dxfId="1">
      <formula>AND(ISNUMBER(G6),G6&lt;=TODAY()+60)</formula>
    </cfRule>
  </conditionalFormatting>
  <conditionalFormatting sqref="I6:I9">
    <cfRule type="expression" priority="10" aboveAverage="0" equalAverage="0" bottom="0" percent="0" rank="0" text="" dxfId="2">
      <formula>AND(ISNUMBER(I6),I6&lt;=TODAY())</formula>
    </cfRule>
    <cfRule type="expression" priority="11" aboveAverage="0" equalAverage="0" bottom="0" percent="0" rank="0" text="" dxfId="1">
      <formula>AND(ISNUMBER(I6),I6&lt;=TODAY()+60)</formula>
    </cfRule>
  </conditionalFormatting>
  <dataValidations count="1">
    <dataValidation allowBlank="true" error="Pick Plumbed or Self-contained (portable)." errorStyle="stop" errorTitle="Unknown eye wash type" operator="between" showDropDown="false" showErrorMessage="false" showInputMessage="false" sqref="C6:C9" type="list">
      <formula1>Intervals!$A$22:$A$24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2026-08-11T10:37:51Z</dcterms:created>
  <dc:creator>openpyxl</dc:creator>
  <dc:description/>
  <dc:language>en-US</dc:language>
  <cp:lastModifiedBy/>
  <dcterms:modified xsi:type="dcterms:W3CDTF">2026-08-11T10:37:51Z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