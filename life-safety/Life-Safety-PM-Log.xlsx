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pection History" sheetId="1" state="visible" r:id="rId3"/>
    <sheet name="Intervals" sheetId="2" state="visible" r:id="rId4"/>
    <sheet name="FE Log" sheetId="3" state="visible" r:id="rId5"/>
    <sheet name="EL Log" sheetId="4" state="visible" r:id="rId6"/>
    <sheet name="EW Log" sheetId="5" state="visible" r:id="rId7"/>
    <sheet name="AED Log" sheetId="6" state="visible" r:id="rId8"/>
    <sheet name="Lists" sheetId="7" state="hidden"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<sst xmlns="http://schemas.openxmlformats.org/spreadsheetml/2006/main" count="948" uniqueCount="254">
  <si>
    <t xml:space="preserve">Inspection History — Atomic Industries, 50479 Birch Drive, Shelby Township, MI</t>
  </si>
  <si>
    <t xml:space="preserve">One row per inspection, never overwritten. Add a row here, or use Walk mode in the dashboard, and every tab's Last date, Next date and status update from it. Only Pass rows count toward the schedule: a Fail stays on the record but does not reset the clock, so the device keeps coming due until it passes.</t>
  </si>
  <si>
    <t xml:space="preserve">Device must match the map (FE7, EW2, AED1) and Check must come from the dropdown. Rows dated before 10/26/2026 were carried over from the old log, which only ever kept each check's latest date, so history before then is partial.</t>
  </si>
  <si>
    <t xml:space="preserve">Date</t>
  </si>
  <si>
    <t xml:space="preserve">Device</t>
  </si>
  <si>
    <t xml:space="preserve">Check</t>
  </si>
  <si>
    <t xml:space="preserve">Result</t>
  </si>
  <si>
    <t xml:space="preserve">Inspected By</t>
  </si>
  <si>
    <t xml:space="preserve">Notes</t>
  </si>
  <si>
    <t xml:space="preserve">EL1</t>
  </si>
  <si>
    <t xml:space="preserve">Annual Test</t>
  </si>
  <si>
    <t xml:space="preserve">Pass</t>
  </si>
  <si>
    <t xml:space="preserve">Carried over from the PM log as it stood 10/19/2026; inspector not recorded.</t>
  </si>
  <si>
    <t xml:space="preserve">EL2</t>
  </si>
  <si>
    <t xml:space="preserve">EL3</t>
  </si>
  <si>
    <t xml:space="preserve">EL4</t>
  </si>
  <si>
    <t xml:space="preserve">EL5</t>
  </si>
  <si>
    <t xml:space="preserve">EL6</t>
  </si>
  <si>
    <t xml:space="preserve">EL7</t>
  </si>
  <si>
    <t xml:space="preserve">EL8</t>
  </si>
  <si>
    <t xml:space="preserve">EL9</t>
  </si>
  <si>
    <t xml:space="preserve">EL10</t>
  </si>
  <si>
    <t xml:space="preserve">EL11</t>
  </si>
  <si>
    <t xml:space="preserve">EL12</t>
  </si>
  <si>
    <t xml:space="preserve">EL13</t>
  </si>
  <si>
    <t xml:space="preserve">EL14</t>
  </si>
  <si>
    <t xml:space="preserve">EL15</t>
  </si>
  <si>
    <t xml:space="preserve">EL16</t>
  </si>
  <si>
    <t xml:space="preserve">EL17</t>
  </si>
  <si>
    <t xml:space="preserve">EL18</t>
  </si>
  <si>
    <t xml:space="preserve">EL19</t>
  </si>
  <si>
    <t xml:space="preserve">EL20</t>
  </si>
  <si>
    <t xml:space="preserve">EL21</t>
  </si>
  <si>
    <t xml:space="preserve">EL22</t>
  </si>
  <si>
    <t xml:space="preserve">EL23</t>
  </si>
  <si>
    <t xml:space="preserve">FE1</t>
  </si>
  <si>
    <t xml:space="preserve">Annual Maint</t>
  </si>
  <si>
    <t xml:space="preserve">Carried over, but this unit carries no UniFirst tag. Confirm it was actually serviced in March 2026.</t>
  </si>
  <si>
    <t xml:space="preserve">FE2</t>
  </si>
  <si>
    <t xml:space="preserve">FE3</t>
  </si>
  <si>
    <t xml:space="preserve">FE4</t>
  </si>
  <si>
    <t xml:space="preserve">FE5</t>
  </si>
  <si>
    <t xml:space="preserve">FE6</t>
  </si>
  <si>
    <t xml:space="preserve">FE7</t>
  </si>
  <si>
    <t xml:space="preserve">FE8</t>
  </si>
  <si>
    <t xml:space="preserve">FE9</t>
  </si>
  <si>
    <t xml:space="preserve">UniFirst</t>
  </si>
  <si>
    <t xml:space="preserve">Carried over: UniFirst service tag, March 2026.</t>
  </si>
  <si>
    <t xml:space="preserve">FE10</t>
  </si>
  <si>
    <t xml:space="preserve">FE11</t>
  </si>
  <si>
    <t xml:space="preserve">FE12</t>
  </si>
  <si>
    <t xml:space="preserve">FE13</t>
  </si>
  <si>
    <t xml:space="preserve">FE14</t>
  </si>
  <si>
    <t xml:space="preserve">FE15</t>
  </si>
  <si>
    <t xml:space="preserve">FE16</t>
  </si>
  <si>
    <t xml:space="preserve">FE17</t>
  </si>
  <si>
    <t xml:space="preserve">FE18</t>
  </si>
  <si>
    <t xml:space="preserve">FE19</t>
  </si>
  <si>
    <t xml:space="preserve">FE20</t>
  </si>
  <si>
    <t xml:space="preserve">FE21</t>
  </si>
  <si>
    <t xml:space="preserve">EW2</t>
  </si>
  <si>
    <t xml:space="preserve">Annual Inspection</t>
  </si>
  <si>
    <t xml:space="preserve">Carried over. This was the squeeze-bottle station, replaced with a gravity-fed unit on 10/19/2026.</t>
  </si>
  <si>
    <t xml:space="preserve">Fluid Change</t>
  </si>
  <si>
    <t xml:space="preserve">EW1</t>
  </si>
  <si>
    <t xml:space="preserve">EW3</t>
  </si>
  <si>
    <t xml:space="preserve">EW4</t>
  </si>
  <si>
    <t xml:space="preserve">Monthly Insp</t>
  </si>
  <si>
    <t xml:space="preserve">Weekly Check</t>
  </si>
  <si>
    <t xml:space="preserve">AED1</t>
  </si>
  <si>
    <t xml:space="preserve">Readiness Check</t>
  </si>
  <si>
    <t xml:space="preserve">AED2</t>
  </si>
  <si>
    <t xml:space="preserve">Monthly Test</t>
  </si>
  <si>
    <t xml:space="preserve">Carried over from the PM log as it stood 10/21/2026; inspector not recorded.</t>
  </si>
  <si>
    <t xml:space="preserve">EW5</t>
  </si>
  <si>
    <t xml:space="preserve">J. Godek</t>
  </si>
  <si>
    <t xml:space="preserve">Inspection Intervals — code reference and single source of truth</t>
  </si>
  <si>
    <t xml:space="preserve">All four log tabs read their intervals from this sheet. Change a number here and every affected due date moves with it. Yellow cells are the editable ones.</t>
  </si>
  <si>
    <t xml:space="preserve">Recurring checks</t>
  </si>
  <si>
    <t xml:space="preserve">Asset</t>
  </si>
  <si>
    <t xml:space="preserve">Every</t>
  </si>
  <si>
    <t xml:space="preserve">Unit</t>
  </si>
  <si>
    <t xml:space="preserve">Code reference</t>
  </si>
  <si>
    <t xml:space="preserve">Fire extinguisher</t>
  </si>
  <si>
    <t xml:space="preserve">Monthly inspection</t>
  </si>
  <si>
    <t xml:space="preserve">days</t>
  </si>
  <si>
    <t xml:space="preserve">NFPA 10 — inspection at 30-day intervals; may be done in-house</t>
  </si>
  <si>
    <t xml:space="preserve">Annual maintenance</t>
  </si>
  <si>
    <t xml:space="preserve">months</t>
  </si>
  <si>
    <t xml:space="preserve">NFPA 10 — annual maintenance by a certified technician</t>
  </si>
  <si>
    <t xml:space="preserve">Emergency light</t>
  </si>
  <si>
    <t xml:space="preserve">Monthly function test</t>
  </si>
  <si>
    <t xml:space="preserve">NFPA 101 7.9.3 — 30-day test, minimum 30 seconds</t>
  </si>
  <si>
    <t xml:space="preserve">Annual full-duration test</t>
  </si>
  <si>
    <t xml:space="preserve">NFPA 101 7.9.3 — annual test, 90 minutes on battery</t>
  </si>
  <si>
    <t xml:space="preserve">Eye wash station</t>
  </si>
  <si>
    <t xml:space="preserve">Weekly activation / visual check</t>
  </si>
  <si>
    <t xml:space="preserve">ANSI/ISEA Z358.1 — weekly activation to clear the dead leg and confirm flow</t>
  </si>
  <si>
    <t xml:space="preserve">Annual inspection</t>
  </si>
  <si>
    <t xml:space="preserve">ANSI/ISEA Z358.1 — annual inspection by a competent person, full 15-minute flow</t>
  </si>
  <si>
    <t xml:space="preserve">Extinguisher type → internal examination and hydrostatic test intervals</t>
  </si>
  <si>
    <t xml:space="preserve">Extinguisher type</t>
  </si>
  <si>
    <t xml:space="preserve">Internal exam (years)</t>
  </si>
  <si>
    <t xml:space="preserve">Hydrostatic test (years)</t>
  </si>
  <si>
    <t xml:space="preserve">Dry chemical, stored pressure</t>
  </si>
  <si>
    <t xml:space="preserve">NFPA 10 — stored-pressure units on a 12-year hydro get a 6-year internal exam</t>
  </si>
  <si>
    <t xml:space="preserve">Dry chemical, stainless steel shell</t>
  </si>
  <si>
    <t xml:space="preserve">NFPA 10 — stainless shells hydro at 5 years</t>
  </si>
  <si>
    <t xml:space="preserve">Carbon dioxide (CO2)</t>
  </si>
  <si>
    <t xml:space="preserve">NFPA 10 — CO2 internal and hydro at 5 years</t>
  </si>
  <si>
    <t xml:space="preserve">Water / water mist</t>
  </si>
  <si>
    <t xml:space="preserve">NFPA 10 — pressurized water and water mist hydro at 5 years</t>
  </si>
  <si>
    <t xml:space="preserve">Wet chemical (Class K)</t>
  </si>
  <si>
    <t xml:space="preserve">NFPA 10 — wet chemical internal and hydro at 5 years</t>
  </si>
  <si>
    <t xml:space="preserve">Eye wash type → flushing-fluid replacement</t>
  </si>
  <si>
    <t xml:space="preserve">Eye wash type</t>
  </si>
  <si>
    <t xml:space="preserve">Fluid change (months)</t>
  </si>
  <si>
    <t xml:space="preserve">Note</t>
  </si>
  <si>
    <t xml:space="preserve">Plumbed</t>
  </si>
  <si>
    <t xml:space="preserve">Fed from the water line — no flushing fluid to replace, so 0 = not applicable. The weekly check is a live activation.</t>
  </si>
  <si>
    <t xml:space="preserve">Self-contained (portable)</t>
  </si>
  <si>
    <t xml:space="preserve">Gravity-fed tank — replace the flushing fluid on the manufacturer's schedule. 12 months is the common default; check the label, some require quarterly.</t>
  </si>
  <si>
    <t xml:space="preserve">Supplemental (squeeze bottles)</t>
  </si>
  <si>
    <t xml:space="preserve">Sealed bottles carry their own printed expiry — there is no fluid to change, so the check reads N/A. Z358.1 treats bottles as supplemental only; they do not satisfy the 15-minute flush a plumbed or self-contained unit provides.</t>
  </si>
  <si>
    <t xml:space="preserve">Dashboard settings</t>
  </si>
  <si>
    <t xml:space="preserve">Warn "due soon" this many days ahead — monthly and annual checks</t>
  </si>
  <si>
    <t xml:space="preserve">Warn "due soon" this many days ahead — weekly checks</t>
  </si>
  <si>
    <t xml:space="preserve">A weekly check needs a shorter warning window than a monthly one — a 7-day warning on a 7-day interval would show amber every single day.</t>
  </si>
  <si>
    <t xml:space="preserve">Sources: NFPA 10 (portable fire extinguishers), NFPA 101 7.9.3 (emergency lighting) and ANSI/ISEA Z358.1 (emergency eyewash), as summarised by fireinspected.com, the Minnesota Department of Health Life Safety Code guidance, and Haws Co. Confirm the enforced edition before an inspection.</t>
  </si>
  <si>
    <t xml:space="preserve">AED — recurring check and consumable life (added 08/21/2026)</t>
  </si>
  <si>
    <t xml:space="preserve">AED</t>
  </si>
  <si>
    <t xml:space="preserve">Monthly readiness check</t>
  </si>
  <si>
    <t xml:space="preserve">No code sets an AED interval. OSHA 1910.151 (first aid) and the General Duty Clause apply; a documented monthly check of the status indicator, pads and rescue kit is the manufacturer/AHA practice. Michigan MCL 691.1504 is Good Samaritan immunity, not a maintenance mandate.</t>
  </si>
  <si>
    <t xml:space="preserve">Battery pack replacement</t>
  </si>
  <si>
    <t xml:space="preserve">ZOLL AED 3 — battery pack has up to a five-year installed standby life. The log takes the printed expiry as the input and works the install date back from it.</t>
  </si>
  <si>
    <t xml:space="preserve">Electrode pad replacement</t>
  </si>
  <si>
    <t xml:space="preserve">ZOLL CPR Uni-padz — five-year installed life, same handling as the battery. Replace after ANY use regardless of the printed date.</t>
  </si>
  <si>
    <t xml:space="preserve">Warn "due soon" this many days ahead — AED battery and pads</t>
  </si>
  <si>
    <t xml:space="preserve">Battery and pad replacements warn 60 days out, not 7: a pack has to be ordered, and an AED with expired consumables is not a working AED.</t>
  </si>
  <si>
    <t xml:space="preserve">Fire Extinguisher PM Log — Atomic Industries, 50479 Birch Drive, Shelby Township, MI</t>
  </si>
  <si>
    <t xml:space="preserve">Dates come from the Inspection History tab: add a row there, or use Walk mode in the dashboard. Edit only the yellow cells. NFPA 10 requires four separate checks per extinguisher — a 30-day inspection, annual maintenance, an internal examination and a hydrostatic test. Status and Next Action always report whichever comes due first.</t>
  </si>
  <si>
    <t xml:space="preserve">Type confirmed from the collar-tag photos: 16 dry chemical and 5 CO2 (FE2, FE4, FE5, FE6, FE7). Internal exam and hydrostatic test have never been performed on these 2026 cylinders, so those columns are blank by design — both clocks run from Mfd Date (01/01/2026, the earliest the ZX26 stamp allows, so the dates are the conservative ones). Enter a real exam date and it overrides the fallback.</t>
  </si>
  <si>
    <t xml:space="preserve">FE #</t>
  </si>
  <si>
    <t xml:space="preserve">Near Location</t>
  </si>
  <si>
    <t xml:space="preserve">Type</t>
  </si>
  <si>
    <t xml:space="preserve">Last Monthly Insp</t>
  </si>
  <si>
    <t xml:space="preserve">Next Monthly Insp</t>
  </si>
  <si>
    <t xml:space="preserve">Last Annual Maint</t>
  </si>
  <si>
    <t xml:space="preserve">Next Annual Maint</t>
  </si>
  <si>
    <t xml:space="preserve">Last Internal Exam</t>
  </si>
  <si>
    <t xml:space="preserve">Next Internal Exam</t>
  </si>
  <si>
    <t xml:space="preserve">Last Hydro Test</t>
  </si>
  <si>
    <t xml:space="preserve">Next Hydro Test</t>
  </si>
  <si>
    <t xml:space="preserve">Next Action</t>
  </si>
  <si>
    <t xml:space="preserve">Days Remaining</t>
  </si>
  <si>
    <t xml:space="preserve">Status</t>
  </si>
  <si>
    <t xml:space="preserve">Mfd Date</t>
  </si>
  <si>
    <t xml:space="preserve">Last Inspected By</t>
  </si>
  <si>
    <t xml:space="preserve">Admin Desk / Office Area entrance</t>
  </si>
  <si>
    <t xml:space="preserve">IT Room hallway</t>
  </si>
  <si>
    <t xml:space="preserve">Break Room</t>
  </si>
  <si>
    <t xml:space="preserve">Training Room</t>
  </si>
  <si>
    <t xml:space="preserve">190 Ton press bay</t>
  </si>
  <si>
    <t xml:space="preserve">Supervisors area</t>
  </si>
  <si>
    <t xml:space="preserve">Office Area (near Warehouse aisle)</t>
  </si>
  <si>
    <t xml:space="preserve">Warehouse Area</t>
  </si>
  <si>
    <t xml:space="preserve">1400 Ton press bay</t>
  </si>
  <si>
    <t xml:space="preserve">310 Ton press bay</t>
  </si>
  <si>
    <t xml:space="preserve">Near 310 Ton bay (south aisle)</t>
  </si>
  <si>
    <t xml:space="preserve">Warehouse Area (east)</t>
  </si>
  <si>
    <t xml:space="preserve">1000 Ton press bay</t>
  </si>
  <si>
    <t xml:space="preserve">55 Ton press / south aisle</t>
  </si>
  <si>
    <t xml:space="preserve">720 Ton press bay</t>
  </si>
  <si>
    <t xml:space="preserve">600 Ton press bay</t>
  </si>
  <si>
    <t xml:space="preserve">Shipping &amp; Receiving</t>
  </si>
  <si>
    <t xml:space="preserve">Central Drying Area</t>
  </si>
  <si>
    <t xml:space="preserve">Loading Dock</t>
  </si>
  <si>
    <t xml:space="preserve">Water System / Maintenance Area</t>
  </si>
  <si>
    <t xml:space="preserve">Office stairwell (by the conference room) — NEW 08/10/2026</t>
  </si>
  <si>
    <t xml:space="preserve">Dates in mm/dd/yyyy (example: the 07/23/2026 values above). A blank Last date means that check is not tracked and shows NOT LOGGED.</t>
  </si>
  <si>
    <t xml:space="preserve">Source: 07/23/2026 baseline sweep supplied by John Godek, Atomic Industries. FE21 added 08/10/2026 from the marked-up plant layout and has no check history yet. Intervals per NFPA 10 — see the Intervals tab.</t>
  </si>
  <si>
    <t xml:space="preserve">Emergency Light PM Log — Atomic Industries, 50479 Birch Drive, Shelby Township, MI</t>
  </si>
  <si>
    <t xml:space="preserve">Dates come from the Inspection History tab: add a row there, or use Walk mode in the dashboard. Edit only the yellow cells. NFPA 101 7.9.3 requires two separate tests per fixture — a 30-day test held at least 30 seconds, and an annual test held the full 90 minutes on battery.</t>
  </si>
  <si>
    <t xml:space="preserve">RENUMBERED 08/10/2026 per the marked-up plant layout: EL1-EL23, of which 7 are newly added fixtures (EL4, EL6, EL8, EL10, EL12, EL22, EL23). The "Was" column maps each row back to its previous ID - relabel the physical fixtures to match. The 7 new fixtures have no check history and read NOT LOGGED until one is recorded.</t>
  </si>
  <si>
    <t xml:space="preserve">EL #</t>
  </si>
  <si>
    <t xml:space="preserve">Was</t>
  </si>
  <si>
    <t xml:space="preserve">Last Monthly Test</t>
  </si>
  <si>
    <t xml:space="preserve">Next Monthly Test</t>
  </si>
  <si>
    <t xml:space="preserve">Last Annual Test</t>
  </si>
  <si>
    <t xml:space="preserve">Next Annual Test</t>
  </si>
  <si>
    <t xml:space="preserve">Office Area (North entry)</t>
  </si>
  <si>
    <t xml:space="preserve">Admin Desk</t>
  </si>
  <si>
    <t xml:space="preserve">Admin Desk / Visitors Office</t>
  </si>
  <si>
    <t xml:space="preserve">NEW</t>
  </si>
  <si>
    <t xml:space="preserve">Office 2 / Office 3 corridor</t>
  </si>
  <si>
    <t xml:space="preserve">Supervisors / Office 5 Director</t>
  </si>
  <si>
    <t xml:space="preserve">Quality Manager</t>
  </si>
  <si>
    <t xml:space="preserve">Quality Lab</t>
  </si>
  <si>
    <t xml:space="preserve">Break Room (south end)</t>
  </si>
  <si>
    <t xml:space="preserve">Restroom vestibule (east of Training Room)</t>
  </si>
  <si>
    <t xml:space="preserve">190 / 240 Ton south aisle</t>
  </si>
  <si>
    <t xml:space="preserve">South aisle exit (below 190 Ton)</t>
  </si>
  <si>
    <t xml:space="preserve">Office Area (north aisle)</t>
  </si>
  <si>
    <t xml:space="preserve">Loading Dock (South Wall)</t>
  </si>
  <si>
    <t xml:space="preserve">Water System (South Wall)</t>
  </si>
  <si>
    <t xml:space="preserve">Server Room</t>
  </si>
  <si>
    <t xml:space="preserve">Safe Launch Area</t>
  </si>
  <si>
    <t xml:space="preserve">Blue rows are fixtures added 08/10/2026 — they have no check history, so they show NOT LOGGED until you record a test.</t>
  </si>
  <si>
    <t xml:space="preserve">Source: 07/23/2026 baseline sweep supplied by John Godek, Atomic Industries, recorded as the monthly function test. Renumbering and the five new fixtures taken from the plant layout marked up 08/10/2026. Intervals per NFPA 101 7.9.3 — see the Intervals tab.</t>
  </si>
  <si>
    <t xml:space="preserve">Self-testing / self-diagnostic fixtures still require documented annual verification.</t>
  </si>
  <si>
    <t xml:space="preserve">Eye Wash Station PM Log — Atomic Industries, 50479 Birch Drive, Shelby Township, MI</t>
  </si>
  <si>
    <t xml:space="preserve">Dates come from the Inspection History tab: add a row there, or use Walk mode in the dashboard. Edit only the yellow cells. ANSI/ISEA Z358.1 requires a weekly activation (to clear the dead leg and confirm flow) plus an annual inspection by a competent person at full 15-minute flow. Self-contained units also need their flushing fluid replaced on the manufacturer's schedule.</t>
  </si>
  <si>
    <t xml:space="preserve">Z358.1 asks for a WEEKLY activation, not monthly — that is why the interval is 7 days. EW2 and EW5 were installed 10/19/2026; both are gravity-fed self-contained units, so both need their flushing fluid replaced on the manufacturer schedule. Plumbed units have no fluid to change and read N/A.</t>
  </si>
  <si>
    <t xml:space="preserve">EW #</t>
  </si>
  <si>
    <t xml:space="preserve">Last Weekly Check</t>
  </si>
  <si>
    <t xml:space="preserve">Next Weekly Check</t>
  </si>
  <si>
    <t xml:space="preserve">Last Annual Inspection</t>
  </si>
  <si>
    <t xml:space="preserve">Next Annual Inspection</t>
  </si>
  <si>
    <t xml:space="preserve">Last Fluid Change</t>
  </si>
  <si>
    <t xml:space="preserve">Next Fluid Change</t>
  </si>
  <si>
    <t xml:space="preserve">Office corridor / 2000 Ton aisle</t>
  </si>
  <si>
    <t xml:space="preserve">Hi-lo battery charging area, grid cross above the 600 Ton</t>
  </si>
  <si>
    <t xml:space="preserve">Squeeze bottles REMOVED and replaced 10/19/2026 with a Gravit-Eye gravity-fed self-contained eyewash. This clears the Z358.1 finding: the bottles were supplemental only and could not deliver the 15-minute flush a battery-acid splash needs. Weekly activation and fluid date set to the install date; the previous annual inspection date was cleared because it belonged to the removed bottles. Confirm the mounting location is still the hi-lo charging area.</t>
  </si>
  <si>
    <t xml:space="preserve">Water System (east wall)</t>
  </si>
  <si>
    <t xml:space="preserve">Column behind the 1400 Ton press</t>
  </si>
  <si>
    <t xml:space="preserve">Guardian gravity-fed self-contained eyewash, installed 10/19/2026 on the column behind the 1400 Ton, beside the spill kit and oily-waste can. Weekly activation and fluid date set to the install date. Annual inspection by a competent person not yet done.</t>
  </si>
  <si>
    <t xml:space="preserve">Dates in mm/dd/yyyy (for example 08/10/2026). A blank Last date means that check is not tracked and shows NOT LOGGED.</t>
  </si>
  <si>
    <t xml:space="preserve">Source: four stations located from the plant layout marked up 08/10/2026 by John Godek, Atomic Industries. Intervals per ANSI/ISEA Z358.1 — see the Intervals tab. OSHA 29 CFR 1910.151(c) is the underlying US requirement to provide suitable facilities for quick drenching or flushing.</t>
  </si>
  <si>
    <t xml:space="preserve">Z358.1 also expects each station to be reachable within 10 seconds of the hazard, unobstructed, signed, and to deliver tepid fluid (60–100°F) for a full 15 minutes — verify these at the annual inspection.</t>
  </si>
  <si>
    <t xml:space="preserve">AED PM Log — Atomic Industries, 50479 Birch Drive, Shelby Township, MI</t>
  </si>
  <si>
    <t xml:space="preserve">Dates come from the Inspection History tab: add a row there, or use Walk mode in the dashboard. Edit only the yellow cells. Two ZOLL AED 3 units. The monthly readiness check is a documented look at the status indicator, the pads (sealed and in date), the unit for damage and the rescue kit. Battery and pad dates are the printed EXPIRY dates — type those; the "Last ... Change" columns work backwards from them.</t>
  </si>
  <si>
    <t xml:space="preserve">ACTION NEEDED: neither unit has a documented readiness check — PlusTrac shows none either, and AED1's next inspection is due 08/31/2026. Record the walk and both units start tracking. AED2 is unlicensed in PlusTrac, so nothing but this log is watching it. Pads must also be replaced after ANY use, whatever the expiry says.</t>
  </si>
  <si>
    <t xml:space="preserve">AED #</t>
  </si>
  <si>
    <t xml:space="preserve">Model</t>
  </si>
  <si>
    <t xml:space="preserve">Serial Number</t>
  </si>
  <si>
    <t xml:space="preserve">Last Readiness Check</t>
  </si>
  <si>
    <t xml:space="preserve">Next Readiness Check</t>
  </si>
  <si>
    <t xml:space="preserve">Last Battery Change</t>
  </si>
  <si>
    <t xml:space="preserve">Next Battery Change</t>
  </si>
  <si>
    <t xml:space="preserve">Last Pad Change</t>
  </si>
  <si>
    <t xml:space="preserve">Next Pad Change</t>
  </si>
  <si>
    <t xml:space="preserve">Outside the Shipping &amp; Receiving office door</t>
  </si>
  <si>
    <t xml:space="preserve">ZOLL AED 3</t>
  </si>
  <si>
    <t xml:space="preserve">AX25G370264</t>
  </si>
  <si>
    <t xml:space="preserve">PlusTrac record X25G370264, "Shipping Office Area", licensed PlusRx (license expires 02/18/2027), monthly interval, next inspection due 08/31/2026 with no inspection recorded to date. MODEL CONFLICT: PlusTrac lists this unit as an AED Plus, but the shell label photographed 08/21/2026 reads AED 3 and PlusTrac's own battery record for it is an AED 3 pack — an AED Plus takes 10 CR123A cells, not this pack. Treated as an AED 3 here; correct the model in PlusTrac or tell me which unit is which. Battery pack SN AU24LAD3904, label INSTALL BY 12/20/2026.</t>
  </si>
  <si>
    <t xml:space="preserve">Outside the Supervisors office door, plant side</t>
  </si>
  <si>
    <t xml:space="preserve">AX25G370194</t>
  </si>
  <si>
    <t xml:space="preserve">PlusTrac record AX25G370194, "Supervisor's Office Area", monthly interval, no inspection recorded to date. NOT TRACKED IN PLUSTRAC: this unit is unlicensed, so ZOLL's system reports its compliance as "Not Tracked" and will not chase its inspections — this log is the only thing watching it. Battery pack SN AU24LAD3856, label INSTALL BY 12/20/2026.</t>
  </si>
  <si>
    <t xml:space="preserve">Dates in mm/dd/yyyy. A blank date means that check is not tracked and shows NOT LOGGED. Pads must be replaced after any use, whatever the date says.</t>
  </si>
  <si>
    <t xml:space="preserve">Source: locations and photos supplied by John Godek, Atomic Industries, 08/21/2026. Serials and the INSTALL BY 12/20/2026 date read from the unit labels. Service life per ZOLL AED 3 documentation — see the Intervals tab.</t>
  </si>
  <si>
    <t xml:space="preserve">Device IDs</t>
  </si>
  <si>
    <t xml:space="preserve">Checks</t>
  </si>
  <si>
    <t xml:space="preserve">Internal Exam</t>
  </si>
  <si>
    <t xml:space="preserve">Hydro Test</t>
  </si>
</sst>
</file>

<file path=xl/styles.xml><?xml version="1.0" encoding="utf-8"?>
<styleSheet xmlns="http://schemas.openxmlformats.org/spreadsheetml/2006/main">
  <numFmts count="3">
    <numFmt numFmtId="164" formatCode="General"/>
    <numFmt numFmtId="165" formatCode="mm/dd/yyyy"/>
    <numFmt numFmtId="166" formatCode="0"/>
  </numFmts>
  <fonts count="14">
    <font>
      <sz val="11"/>
      <color theme="1"/>
      <name val="Calibri"/>
      <family val="2"/>
      <charset val="1"/>
    </font>
    <font>
      <sz val="10"/>
      <name val="Arial"/>
      <family val="0"/>
    </font>
    <font>
      <sz val="10"/>
      <name val="Arial"/>
      <family val="0"/>
    </font>
    <font>
      <sz val="10"/>
      <name val="Arial"/>
      <family val="0"/>
    </font>
    <font>
      <b val="true"/>
      <sz val="14"/>
      <color rgb="FF1F2937"/>
      <name val="Arial"/>
      <family val="0"/>
      <charset val="1"/>
    </font>
    <font>
      <sz val="9"/>
      <color rgb="FF595959"/>
      <name val="Arial"/>
      <family val="0"/>
      <charset val="1"/>
    </font>
    <font>
      <b val="true"/>
      <sz val="9"/>
      <color rgb="FF9C0006"/>
      <name val="Arial"/>
      <family val="0"/>
      <charset val="1"/>
    </font>
    <font>
      <b val="true"/>
      <sz val="10"/>
      <color rgb="FFFFFFFF"/>
      <name val="Arial"/>
      <family val="0"/>
      <charset val="1"/>
    </font>
    <font>
      <sz val="10"/>
      <color rgb="FF1A1A1A"/>
      <name val="Arial"/>
      <family val="0"/>
      <charset val="1"/>
    </font>
    <font>
      <b val="true"/>
      <sz val="10"/>
      <color rgb="FF1F2937"/>
      <name val="Arial"/>
      <family val="0"/>
      <charset val="1"/>
    </font>
    <font>
      <sz val="10"/>
      <color rgb="FF000000"/>
      <name val="Arial"/>
      <family val="0"/>
      <charset val="1"/>
    </font>
    <font>
      <i val="true"/>
      <sz val="9"/>
      <color rgb="FF595959"/>
      <name val="Arial"/>
      <family val="0"/>
      <charset val="1"/>
    </font>
    <font>
      <i val="true"/>
      <sz val="10"/>
      <color rgb="FF7A7F8C"/>
      <name val="Arial"/>
      <family val="0"/>
      <charset val="1"/>
    </font>
    <font>
      <sz val="10"/>
      <name val="Arial"/>
      <family val="0"/>
      <charset val="1"/>
    </font>
  </fonts>
  <fills count="5">
    <fill>
      <patternFill patternType="none"/>
    </fill>
    <fill>
      <patternFill patternType="gray125"/>
    </fill>
    <fill>
      <patternFill patternType="solid">
        <fgColor rgb="FF1F2937"/>
        <bgColor rgb="FF1A1A1A"/>
      </patternFill>
    </fill>
    <fill>
      <patternFill patternType="solid">
        <fgColor rgb="FFFFF2A8"/>
        <bgColor rgb="FFFFEB9C"/>
      </patternFill>
    </fill>
    <fill>
      <patternFill patternType="solid">
        <fgColor rgb="FFDDEBFF"/>
        <bgColor rgb="FFE4E7E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5" fontId="8" fillId="3" borderId="0" xfId="0" applyFont="true" applyBorder="false" applyAlignment="true" applyProtection="false">
      <alignment horizontal="center" vertical="bottom" textRotation="0" wrapText="fals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64" fontId="8" fillId="3" borderId="0" xfId="0" applyFont="tru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4" fontId="12" fillId="4"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5" fontId="13" fillId="0" borderId="0" xfId="0" applyFont="true" applyBorder="false" applyAlignment="true" applyProtection="false">
      <alignment horizontal="center"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b val="1"/>
        <color rgb="FF9C0006"/>
      </font>
      <fill>
        <patternFill>
          <bgColor rgb="FFFFC7CE"/>
        </patternFill>
      </fill>
    </dxf>
    <dxf>
      <font>
        <name val="Arial"/>
        <charset val="1"/>
        <family val="0"/>
        <color rgb="FF006100"/>
        <sz val="10"/>
      </font>
      <fill>
        <patternFill>
          <bgColor rgb="FFC6EFCE"/>
        </patternFill>
      </fill>
    </dxf>
    <dxf>
      <font>
        <name val="Arial"/>
        <charset val="1"/>
        <family val="0"/>
        <color rgb="FF9C6500"/>
        <sz val="10"/>
      </font>
      <fill>
        <patternFill>
          <bgColor rgb="FFFFEB9C"/>
        </patternFill>
      </fill>
    </dxf>
    <dxf>
      <font>
        <name val="Arial"/>
        <charset val="1"/>
        <family val="0"/>
        <color rgb="FF9C0006"/>
        <sz val="10"/>
      </font>
      <fill>
        <patternFill>
          <bgColor rgb="FFFFC7CE"/>
        </patternFill>
      </fill>
    </dxf>
    <dxf>
      <font>
        <name val="Arial"/>
        <charset val="1"/>
        <family val="0"/>
        <color rgb="FF5A6072"/>
        <sz val="10"/>
      </font>
      <fill>
        <patternFill>
          <bgColor rgb="FFE4E7E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7A7F8C"/>
      <rgbColor rgb="FF9999FF"/>
      <rgbColor rgb="FF993366"/>
      <rgbColor rgb="FFFFEB9C"/>
      <rgbColor rgb="FFDDEB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E7EC"/>
      <rgbColor rgb="FFC6EFCE"/>
      <rgbColor rgb="FFFFF2A8"/>
      <rgbColor rgb="FF99CCFF"/>
      <rgbColor rgb="FFFF99CC"/>
      <rgbColor rgb="FFCC99FF"/>
      <rgbColor rgb="FFFFC7CE"/>
      <rgbColor rgb="FF3366FF"/>
      <rgbColor rgb="FF33CCCC"/>
      <rgbColor rgb="FF99CC00"/>
      <rgbColor rgb="FFFFCC00"/>
      <rgbColor rgb="FFFF9900"/>
      <rgbColor rgb="FFFF6600"/>
      <rgbColor rgb="FF5A6072"/>
      <rgbColor rgb="FF969696"/>
      <rgbColor rgb="FF003366"/>
      <rgbColor rgb="FF339966"/>
      <rgbColor rgb="FF003300"/>
      <rgbColor rgb="FF1A1A1A"/>
      <rgbColor rgb="FF993300"/>
      <rgbColor rgb="FF993366"/>
      <rgbColor rgb="FF59595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19"/>
    <col collapsed="false" customWidth="true" hidden="false" outlineLevel="0" max="4" min="4" style="0" width="9"/>
    <col collapsed="false" customWidth="true" hidden="false" outlineLevel="0" max="5" min="5" style="0" width="16"/>
    <col collapsed="false" customWidth="true" hidden="false" outlineLevel="0" max="6" min="6" style="0" width="80"/>
  </cols>
  <sheetData>
    <row r="1" customFormat="false" ht="17.35" hidden="false" customHeight="false" outlineLevel="0" collapsed="false">
      <c r="A1" s="1" t="s">
        <v>0</v>
      </c>
      <c r="B1" s="1"/>
      <c r="C1" s="1"/>
      <c r="D1" s="1"/>
      <c r="E1" s="1"/>
      <c r="F1" s="1"/>
    </row>
    <row r="2" customFormat="false" ht="39.75" hidden="false" customHeight="true" outlineLevel="0" collapsed="false">
      <c r="A2" s="2" t="s">
        <v>1</v>
      </c>
      <c r="B2" s="2"/>
      <c r="C2" s="2"/>
      <c r="D2" s="2"/>
      <c r="E2" s="2"/>
      <c r="F2" s="2"/>
    </row>
    <row r="3" customFormat="false" ht="39.75" hidden="false" customHeight="true" outlineLevel="0" collapsed="false">
      <c r="A3" s="3" t="s">
        <v>2</v>
      </c>
      <c r="B3" s="3"/>
      <c r="C3" s="3"/>
      <c r="D3" s="3"/>
      <c r="E3" s="3"/>
      <c r="F3" s="3"/>
    </row>
    <row r="5" customFormat="false" ht="21.75" hidden="false" customHeight="true" outlineLevel="0" collapsed="false">
      <c r="A5" s="4" t="s">
        <v>3</v>
      </c>
      <c r="B5" s="4" t="s">
        <v>4</v>
      </c>
      <c r="C5" s="4" t="s">
        <v>5</v>
      </c>
      <c r="D5" s="4" t="s">
        <v>6</v>
      </c>
      <c r="E5" s="4" t="s">
        <v>7</v>
      </c>
      <c r="F5" s="4" t="s">
        <v>8</v>
      </c>
    </row>
    <row r="6" customFormat="false" ht="15" hidden="false" customHeight="false" outlineLevel="0" collapsed="false">
      <c r="A6" s="5" t="n">
        <v>46071</v>
      </c>
      <c r="B6" s="6" t="s">
        <v>9</v>
      </c>
      <c r="C6" s="6" t="s">
        <v>10</v>
      </c>
      <c r="D6" s="6" t="s">
        <v>11</v>
      </c>
      <c r="E6" s="6"/>
      <c r="F6" s="7" t="s">
        <v>12</v>
      </c>
    </row>
    <row r="7" customFormat="false" ht="15" hidden="false" customHeight="false" outlineLevel="0" collapsed="false">
      <c r="A7" s="5" t="n">
        <v>46071</v>
      </c>
      <c r="B7" s="6" t="s">
        <v>13</v>
      </c>
      <c r="C7" s="6" t="s">
        <v>10</v>
      </c>
      <c r="D7" s="6" t="s">
        <v>11</v>
      </c>
      <c r="E7" s="6"/>
      <c r="F7" s="7" t="s">
        <v>12</v>
      </c>
    </row>
    <row r="8" customFormat="false" ht="15" hidden="false" customHeight="false" outlineLevel="0" collapsed="false">
      <c r="A8" s="5" t="n">
        <v>46071</v>
      </c>
      <c r="B8" s="6" t="s">
        <v>14</v>
      </c>
      <c r="C8" s="6" t="s">
        <v>10</v>
      </c>
      <c r="D8" s="6" t="s">
        <v>11</v>
      </c>
      <c r="E8" s="6"/>
      <c r="F8" s="7" t="s">
        <v>12</v>
      </c>
    </row>
    <row r="9" customFormat="false" ht="15" hidden="false" customHeight="false" outlineLevel="0" collapsed="false">
      <c r="A9" s="5" t="n">
        <v>46071</v>
      </c>
      <c r="B9" s="6" t="s">
        <v>15</v>
      </c>
      <c r="C9" s="6" t="s">
        <v>10</v>
      </c>
      <c r="D9" s="6" t="s">
        <v>11</v>
      </c>
      <c r="E9" s="6"/>
      <c r="F9" s="7" t="s">
        <v>12</v>
      </c>
    </row>
    <row r="10" customFormat="false" ht="15" hidden="false" customHeight="false" outlineLevel="0" collapsed="false">
      <c r="A10" s="5" t="n">
        <v>46071</v>
      </c>
      <c r="B10" s="6" t="s">
        <v>16</v>
      </c>
      <c r="C10" s="6" t="s">
        <v>10</v>
      </c>
      <c r="D10" s="6" t="s">
        <v>11</v>
      </c>
      <c r="E10" s="6"/>
      <c r="F10" s="7" t="s">
        <v>12</v>
      </c>
    </row>
    <row r="11" customFormat="false" ht="15" hidden="false" customHeight="false" outlineLevel="0" collapsed="false">
      <c r="A11" s="5" t="n">
        <v>46071</v>
      </c>
      <c r="B11" s="6" t="s">
        <v>17</v>
      </c>
      <c r="C11" s="6" t="s">
        <v>10</v>
      </c>
      <c r="D11" s="6" t="s">
        <v>11</v>
      </c>
      <c r="E11" s="6"/>
      <c r="F11" s="7" t="s">
        <v>12</v>
      </c>
    </row>
    <row r="12" customFormat="false" ht="15" hidden="false" customHeight="false" outlineLevel="0" collapsed="false">
      <c r="A12" s="5" t="n">
        <v>46071</v>
      </c>
      <c r="B12" s="6" t="s">
        <v>18</v>
      </c>
      <c r="C12" s="6" t="s">
        <v>10</v>
      </c>
      <c r="D12" s="6" t="s">
        <v>11</v>
      </c>
      <c r="E12" s="6"/>
      <c r="F12" s="7" t="s">
        <v>12</v>
      </c>
    </row>
    <row r="13" customFormat="false" ht="15" hidden="false" customHeight="false" outlineLevel="0" collapsed="false">
      <c r="A13" s="5" t="n">
        <v>46071</v>
      </c>
      <c r="B13" s="6" t="s">
        <v>19</v>
      </c>
      <c r="C13" s="6" t="s">
        <v>10</v>
      </c>
      <c r="D13" s="6" t="s">
        <v>11</v>
      </c>
      <c r="E13" s="6"/>
      <c r="F13" s="7" t="s">
        <v>12</v>
      </c>
    </row>
    <row r="14" customFormat="false" ht="15" hidden="false" customHeight="false" outlineLevel="0" collapsed="false">
      <c r="A14" s="5" t="n">
        <v>46071</v>
      </c>
      <c r="B14" s="6" t="s">
        <v>20</v>
      </c>
      <c r="C14" s="6" t="s">
        <v>10</v>
      </c>
      <c r="D14" s="6" t="s">
        <v>11</v>
      </c>
      <c r="E14" s="6"/>
      <c r="F14" s="7" t="s">
        <v>12</v>
      </c>
    </row>
    <row r="15" customFormat="false" ht="15" hidden="false" customHeight="false" outlineLevel="0" collapsed="false">
      <c r="A15" s="5" t="n">
        <v>46071</v>
      </c>
      <c r="B15" s="6" t="s">
        <v>21</v>
      </c>
      <c r="C15" s="6" t="s">
        <v>10</v>
      </c>
      <c r="D15" s="6" t="s">
        <v>11</v>
      </c>
      <c r="E15" s="6"/>
      <c r="F15" s="7" t="s">
        <v>12</v>
      </c>
    </row>
    <row r="16" customFormat="false" ht="15" hidden="false" customHeight="false" outlineLevel="0" collapsed="false">
      <c r="A16" s="5" t="n">
        <v>46071</v>
      </c>
      <c r="B16" s="6" t="s">
        <v>22</v>
      </c>
      <c r="C16" s="6" t="s">
        <v>10</v>
      </c>
      <c r="D16" s="6" t="s">
        <v>11</v>
      </c>
      <c r="E16" s="6"/>
      <c r="F16" s="7" t="s">
        <v>12</v>
      </c>
    </row>
    <row r="17" customFormat="false" ht="15" hidden="false" customHeight="false" outlineLevel="0" collapsed="false">
      <c r="A17" s="5" t="n">
        <v>46071</v>
      </c>
      <c r="B17" s="6" t="s">
        <v>23</v>
      </c>
      <c r="C17" s="6" t="s">
        <v>10</v>
      </c>
      <c r="D17" s="6" t="s">
        <v>11</v>
      </c>
      <c r="E17" s="6"/>
      <c r="F17" s="7" t="s">
        <v>12</v>
      </c>
    </row>
    <row r="18" customFormat="false" ht="15" hidden="false" customHeight="false" outlineLevel="0" collapsed="false">
      <c r="A18" s="5" t="n">
        <v>46071</v>
      </c>
      <c r="B18" s="6" t="s">
        <v>24</v>
      </c>
      <c r="C18" s="6" t="s">
        <v>10</v>
      </c>
      <c r="D18" s="6" t="s">
        <v>11</v>
      </c>
      <c r="E18" s="6"/>
      <c r="F18" s="7" t="s">
        <v>12</v>
      </c>
    </row>
    <row r="19" customFormat="false" ht="15" hidden="false" customHeight="false" outlineLevel="0" collapsed="false">
      <c r="A19" s="5" t="n">
        <v>46071</v>
      </c>
      <c r="B19" s="6" t="s">
        <v>25</v>
      </c>
      <c r="C19" s="6" t="s">
        <v>10</v>
      </c>
      <c r="D19" s="6" t="s">
        <v>11</v>
      </c>
      <c r="E19" s="6"/>
      <c r="F19" s="7" t="s">
        <v>12</v>
      </c>
    </row>
    <row r="20" customFormat="false" ht="15" hidden="false" customHeight="false" outlineLevel="0" collapsed="false">
      <c r="A20" s="5" t="n">
        <v>46071</v>
      </c>
      <c r="B20" s="6" t="s">
        <v>26</v>
      </c>
      <c r="C20" s="6" t="s">
        <v>10</v>
      </c>
      <c r="D20" s="6" t="s">
        <v>11</v>
      </c>
      <c r="E20" s="6"/>
      <c r="F20" s="7" t="s">
        <v>12</v>
      </c>
    </row>
    <row r="21" customFormat="false" ht="15" hidden="false" customHeight="false" outlineLevel="0" collapsed="false">
      <c r="A21" s="5" t="n">
        <v>46071</v>
      </c>
      <c r="B21" s="6" t="s">
        <v>27</v>
      </c>
      <c r="C21" s="6" t="s">
        <v>10</v>
      </c>
      <c r="D21" s="6" t="s">
        <v>11</v>
      </c>
      <c r="E21" s="6"/>
      <c r="F21" s="7" t="s">
        <v>12</v>
      </c>
    </row>
    <row r="22" customFormat="false" ht="15" hidden="false" customHeight="false" outlineLevel="0" collapsed="false">
      <c r="A22" s="5" t="n">
        <v>46071</v>
      </c>
      <c r="B22" s="6" t="s">
        <v>28</v>
      </c>
      <c r="C22" s="6" t="s">
        <v>10</v>
      </c>
      <c r="D22" s="6" t="s">
        <v>11</v>
      </c>
      <c r="E22" s="6"/>
      <c r="F22" s="7" t="s">
        <v>12</v>
      </c>
    </row>
    <row r="23" customFormat="false" ht="15" hidden="false" customHeight="false" outlineLevel="0" collapsed="false">
      <c r="A23" s="5" t="n">
        <v>46071</v>
      </c>
      <c r="B23" s="6" t="s">
        <v>29</v>
      </c>
      <c r="C23" s="6" t="s">
        <v>10</v>
      </c>
      <c r="D23" s="6" t="s">
        <v>11</v>
      </c>
      <c r="E23" s="6"/>
      <c r="F23" s="7" t="s">
        <v>12</v>
      </c>
    </row>
    <row r="24" customFormat="false" ht="15" hidden="false" customHeight="false" outlineLevel="0" collapsed="false">
      <c r="A24" s="5" t="n">
        <v>46071</v>
      </c>
      <c r="B24" s="6" t="s">
        <v>30</v>
      </c>
      <c r="C24" s="6" t="s">
        <v>10</v>
      </c>
      <c r="D24" s="6" t="s">
        <v>11</v>
      </c>
      <c r="E24" s="6"/>
      <c r="F24" s="7" t="s">
        <v>12</v>
      </c>
    </row>
    <row r="25" customFormat="false" ht="15" hidden="false" customHeight="false" outlineLevel="0" collapsed="false">
      <c r="A25" s="5" t="n">
        <v>46071</v>
      </c>
      <c r="B25" s="6" t="s">
        <v>31</v>
      </c>
      <c r="C25" s="6" t="s">
        <v>10</v>
      </c>
      <c r="D25" s="6" t="s">
        <v>11</v>
      </c>
      <c r="E25" s="6"/>
      <c r="F25" s="7" t="s">
        <v>12</v>
      </c>
    </row>
    <row r="26" customFormat="false" ht="15" hidden="false" customHeight="false" outlineLevel="0" collapsed="false">
      <c r="A26" s="5" t="n">
        <v>46071</v>
      </c>
      <c r="B26" s="6" t="s">
        <v>32</v>
      </c>
      <c r="C26" s="6" t="s">
        <v>10</v>
      </c>
      <c r="D26" s="6" t="s">
        <v>11</v>
      </c>
      <c r="E26" s="6"/>
      <c r="F26" s="7" t="s">
        <v>12</v>
      </c>
    </row>
    <row r="27" customFormat="false" ht="15" hidden="false" customHeight="false" outlineLevel="0" collapsed="false">
      <c r="A27" s="5" t="n">
        <v>46071</v>
      </c>
      <c r="B27" s="6" t="s">
        <v>33</v>
      </c>
      <c r="C27" s="6" t="s">
        <v>10</v>
      </c>
      <c r="D27" s="6" t="s">
        <v>11</v>
      </c>
      <c r="E27" s="6"/>
      <c r="F27" s="7" t="s">
        <v>12</v>
      </c>
    </row>
    <row r="28" customFormat="false" ht="15" hidden="false" customHeight="false" outlineLevel="0" collapsed="false">
      <c r="A28" s="5" t="n">
        <v>46071</v>
      </c>
      <c r="B28" s="6" t="s">
        <v>34</v>
      </c>
      <c r="C28" s="6" t="s">
        <v>10</v>
      </c>
      <c r="D28" s="6" t="s">
        <v>11</v>
      </c>
      <c r="E28" s="6"/>
      <c r="F28" s="7" t="s">
        <v>12</v>
      </c>
    </row>
    <row r="29" customFormat="false" ht="15" hidden="false" customHeight="false" outlineLevel="0" collapsed="false">
      <c r="A29" s="5" t="n">
        <v>46082</v>
      </c>
      <c r="B29" s="6" t="s">
        <v>35</v>
      </c>
      <c r="C29" s="6" t="s">
        <v>36</v>
      </c>
      <c r="D29" s="6" t="s">
        <v>11</v>
      </c>
      <c r="E29" s="6"/>
      <c r="F29" s="7" t="inlineStr">
        <is>
          <t xml:space="preserve">Annual service confirmed done at installation, March 2026.</t>
        </is>
      </c>
    </row>
    <row r="30" customFormat="false" ht="15" hidden="false" customHeight="false" outlineLevel="0" collapsed="false">
      <c r="A30" s="5" t="n">
        <v>46082</v>
      </c>
      <c r="B30" s="6" t="s">
        <v>38</v>
      </c>
      <c r="C30" s="6" t="s">
        <v>36</v>
      </c>
      <c r="D30" s="6" t="s">
        <v>11</v>
      </c>
      <c r="E30" s="6"/>
      <c r="F30" s="7" t="inlineStr">
        <is>
          <t xml:space="preserve">Annual service confirmed done at installation, March 2026.</t>
        </is>
      </c>
    </row>
    <row r="31" customFormat="false" ht="15" hidden="false" customHeight="false" outlineLevel="0" collapsed="false">
      <c r="A31" s="5" t="n">
        <v>46082</v>
      </c>
      <c r="B31" s="6" t="s">
        <v>39</v>
      </c>
      <c r="C31" s="6" t="s">
        <v>36</v>
      </c>
      <c r="D31" s="6" t="s">
        <v>11</v>
      </c>
      <c r="E31" s="6"/>
      <c r="F31" s="7" t="inlineStr">
        <is>
          <t xml:space="preserve">Annual service confirmed done at installation, March 2026.</t>
        </is>
      </c>
    </row>
    <row r="32" customFormat="false" ht="15" hidden="false" customHeight="false" outlineLevel="0" collapsed="false">
      <c r="A32" s="5" t="n">
        <v>46082</v>
      </c>
      <c r="B32" s="6" t="s">
        <v>40</v>
      </c>
      <c r="C32" s="6" t="s">
        <v>36</v>
      </c>
      <c r="D32" s="6" t="s">
        <v>11</v>
      </c>
      <c r="E32" s="6"/>
      <c r="F32" s="7" t="inlineStr">
        <is>
          <t xml:space="preserve">Annual service confirmed done at installation, March 2026.</t>
        </is>
      </c>
    </row>
    <row r="33" customFormat="false" ht="15" hidden="false" customHeight="false" outlineLevel="0" collapsed="false">
      <c r="A33" s="5" t="n">
        <v>46082</v>
      </c>
      <c r="B33" s="6" t="s">
        <v>41</v>
      </c>
      <c r="C33" s="6" t="s">
        <v>36</v>
      </c>
      <c r="D33" s="6" t="s">
        <v>11</v>
      </c>
      <c r="E33" s="6"/>
      <c r="F33" s="7" t="inlineStr">
        <is>
          <t xml:space="preserve">Annual service confirmed done at installation, March 2026.</t>
        </is>
      </c>
    </row>
    <row r="34" customFormat="false" ht="15" hidden="false" customHeight="false" outlineLevel="0" collapsed="false">
      <c r="A34" s="5" t="n">
        <v>46082</v>
      </c>
      <c r="B34" s="6" t="s">
        <v>42</v>
      </c>
      <c r="C34" s="6" t="s">
        <v>36</v>
      </c>
      <c r="D34" s="6" t="s">
        <v>11</v>
      </c>
      <c r="E34" s="6"/>
      <c r="F34" s="7" t="inlineStr">
        <is>
          <t xml:space="preserve">Annual service confirmed done at installation, March 2026.</t>
        </is>
      </c>
    </row>
    <row r="35" customFormat="false" ht="15" hidden="false" customHeight="false" outlineLevel="0" collapsed="false">
      <c r="A35" s="5" t="n">
        <v>46082</v>
      </c>
      <c r="B35" s="6" t="s">
        <v>43</v>
      </c>
      <c r="C35" s="6" t="s">
        <v>36</v>
      </c>
      <c r="D35" s="6" t="s">
        <v>11</v>
      </c>
      <c r="E35" s="6"/>
      <c r="F35" s="7" t="inlineStr">
        <is>
          <t xml:space="preserve">Annual service confirmed done at installation, March 2026.</t>
        </is>
      </c>
    </row>
    <row r="36" customFormat="false" ht="15" hidden="false" customHeight="false" outlineLevel="0" collapsed="false">
      <c r="A36" s="5" t="n">
        <v>46082</v>
      </c>
      <c r="B36" s="6" t="s">
        <v>44</v>
      </c>
      <c r="C36" s="6" t="s">
        <v>36</v>
      </c>
      <c r="D36" s="6" t="s">
        <v>11</v>
      </c>
      <c r="E36" s="6"/>
      <c r="F36" s="7" t="inlineStr">
        <is>
          <t xml:space="preserve">Annual service confirmed done at installation, March 2026.</t>
        </is>
      </c>
    </row>
    <row r="37" customFormat="false" ht="15" hidden="false" customHeight="false" outlineLevel="0" collapsed="false">
      <c r="A37" s="5" t="n">
        <v>46082</v>
      </c>
      <c r="B37" s="6" t="s">
        <v>45</v>
      </c>
      <c r="C37" s="6" t="s">
        <v>36</v>
      </c>
      <c r="D37" s="6" t="s">
        <v>11</v>
      </c>
      <c r="E37" s="6" t="s">
        <v>46</v>
      </c>
      <c r="F37" s="7" t="s">
        <v>47</v>
      </c>
    </row>
    <row r="38" customFormat="false" ht="15" hidden="false" customHeight="false" outlineLevel="0" collapsed="false">
      <c r="A38" s="5" t="n">
        <v>46082</v>
      </c>
      <c r="B38" s="6" t="s">
        <v>48</v>
      </c>
      <c r="C38" s="6" t="s">
        <v>36</v>
      </c>
      <c r="D38" s="6" t="s">
        <v>11</v>
      </c>
      <c r="E38" s="6" t="s">
        <v>46</v>
      </c>
      <c r="F38" s="7" t="s">
        <v>47</v>
      </c>
    </row>
    <row r="39" customFormat="false" ht="15" hidden="false" customHeight="false" outlineLevel="0" collapsed="false">
      <c r="A39" s="5" t="n">
        <v>46082</v>
      </c>
      <c r="B39" s="6" t="s">
        <v>49</v>
      </c>
      <c r="C39" s="6" t="s">
        <v>36</v>
      </c>
      <c r="D39" s="6" t="s">
        <v>11</v>
      </c>
      <c r="E39" s="6"/>
      <c r="F39" s="7" t="inlineStr">
        <is>
          <t xml:space="preserve">Annual service confirmed done at installation, March 2026.</t>
        </is>
      </c>
    </row>
    <row r="40" customFormat="false" ht="15" hidden="false" customHeight="false" outlineLevel="0" collapsed="false">
      <c r="A40" s="5" t="n">
        <v>46082</v>
      </c>
      <c r="B40" s="6" t="s">
        <v>50</v>
      </c>
      <c r="C40" s="6" t="s">
        <v>36</v>
      </c>
      <c r="D40" s="6" t="s">
        <v>11</v>
      </c>
      <c r="E40" s="6" t="s">
        <v>46</v>
      </c>
      <c r="F40" s="7" t="s">
        <v>47</v>
      </c>
    </row>
    <row r="41" customFormat="false" ht="15" hidden="false" customHeight="false" outlineLevel="0" collapsed="false">
      <c r="A41" s="5" t="n">
        <v>46082</v>
      </c>
      <c r="B41" s="6" t="s">
        <v>51</v>
      </c>
      <c r="C41" s="6" t="s">
        <v>36</v>
      </c>
      <c r="D41" s="6" t="s">
        <v>11</v>
      </c>
      <c r="E41" s="6" t="s">
        <v>46</v>
      </c>
      <c r="F41" s="7" t="s">
        <v>47</v>
      </c>
    </row>
    <row r="42" customFormat="false" ht="15" hidden="false" customHeight="false" outlineLevel="0" collapsed="false">
      <c r="A42" s="5" t="n">
        <v>46082</v>
      </c>
      <c r="B42" s="6" t="s">
        <v>52</v>
      </c>
      <c r="C42" s="6" t="s">
        <v>36</v>
      </c>
      <c r="D42" s="6" t="s">
        <v>11</v>
      </c>
      <c r="E42" s="6" t="s">
        <v>46</v>
      </c>
      <c r="F42" s="7" t="s">
        <v>47</v>
      </c>
    </row>
    <row r="43" customFormat="false" ht="15" hidden="false" customHeight="false" outlineLevel="0" collapsed="false">
      <c r="A43" s="5" t="n">
        <v>46082</v>
      </c>
      <c r="B43" s="6" t="s">
        <v>53</v>
      </c>
      <c r="C43" s="6" t="s">
        <v>36</v>
      </c>
      <c r="D43" s="6" t="s">
        <v>11</v>
      </c>
      <c r="E43" s="6" t="s">
        <v>46</v>
      </c>
      <c r="F43" s="7" t="s">
        <v>47</v>
      </c>
    </row>
    <row r="44" customFormat="false" ht="15" hidden="false" customHeight="false" outlineLevel="0" collapsed="false">
      <c r="A44" s="5" t="n">
        <v>46082</v>
      </c>
      <c r="B44" s="6" t="s">
        <v>54</v>
      </c>
      <c r="C44" s="6" t="s">
        <v>36</v>
      </c>
      <c r="D44" s="6" t="s">
        <v>11</v>
      </c>
      <c r="E44" s="6" t="s">
        <v>46</v>
      </c>
      <c r="F44" s="7" t="s">
        <v>47</v>
      </c>
    </row>
    <row r="45" customFormat="false" ht="15" hidden="false" customHeight="false" outlineLevel="0" collapsed="false">
      <c r="A45" s="5" t="n">
        <v>46082</v>
      </c>
      <c r="B45" s="6" t="s">
        <v>55</v>
      </c>
      <c r="C45" s="6" t="s">
        <v>36</v>
      </c>
      <c r="D45" s="6" t="s">
        <v>11</v>
      </c>
      <c r="E45" s="6" t="s">
        <v>46</v>
      </c>
      <c r="F45" s="7" t="s">
        <v>47</v>
      </c>
    </row>
    <row r="46" customFormat="false" ht="15" hidden="false" customHeight="false" outlineLevel="0" collapsed="false">
      <c r="A46" s="5" t="n">
        <v>46082</v>
      </c>
      <c r="B46" s="6" t="s">
        <v>56</v>
      </c>
      <c r="C46" s="6" t="s">
        <v>36</v>
      </c>
      <c r="D46" s="6" t="s">
        <v>11</v>
      </c>
      <c r="E46" s="6" t="s">
        <v>46</v>
      </c>
      <c r="F46" s="7" t="s">
        <v>47</v>
      </c>
    </row>
    <row r="47" customFormat="false" ht="15" hidden="false" customHeight="false" outlineLevel="0" collapsed="false">
      <c r="A47" s="5" t="n">
        <v>46082</v>
      </c>
      <c r="B47" s="6" t="s">
        <v>57</v>
      </c>
      <c r="C47" s="6" t="s">
        <v>36</v>
      </c>
      <c r="D47" s="6" t="s">
        <v>11</v>
      </c>
      <c r="E47" s="6" t="s">
        <v>46</v>
      </c>
      <c r="F47" s="7" t="s">
        <v>47</v>
      </c>
    </row>
    <row r="48" customFormat="false" ht="15" hidden="false" customHeight="false" outlineLevel="0" collapsed="false">
      <c r="A48" s="5" t="n">
        <v>46082</v>
      </c>
      <c r="B48" s="6" t="s">
        <v>58</v>
      </c>
      <c r="C48" s="6" t="s">
        <v>36</v>
      </c>
      <c r="D48" s="6" t="s">
        <v>11</v>
      </c>
      <c r="E48" s="6" t="s">
        <v>46</v>
      </c>
      <c r="F48" s="7" t="s">
        <v>47</v>
      </c>
    </row>
    <row r="49" customFormat="false" ht="15" hidden="false" customHeight="false" outlineLevel="0" collapsed="false">
      <c r="A49" s="5" t="n">
        <v>46082</v>
      </c>
      <c r="B49" s="6" t="s">
        <v>59</v>
      </c>
      <c r="C49" s="6" t="s">
        <v>36</v>
      </c>
      <c r="D49" s="6" t="s">
        <v>11</v>
      </c>
      <c r="E49" s="6"/>
      <c r="F49" s="7" t="inlineStr">
        <is>
          <t xml:space="preserve">Annual service confirmed done at installation, March 2026.</t>
        </is>
      </c>
    </row>
    <row r="50" customFormat="false" ht="15" hidden="false" customHeight="false" outlineLevel="0" collapsed="false">
      <c r="A50" s="5" t="n">
        <v>46174</v>
      </c>
      <c r="B50" s="6" t="s">
        <v>60</v>
      </c>
      <c r="C50" s="6" t="s">
        <v>61</v>
      </c>
      <c r="D50" s="6" t="s">
        <v>11</v>
      </c>
      <c r="E50" s="6"/>
      <c r="F50" s="7" t="s">
        <v>62</v>
      </c>
    </row>
    <row r="51" customFormat="false" ht="15" hidden="false" customHeight="false" outlineLevel="0" collapsed="false">
      <c r="A51" s="5" t="n">
        <v>46174</v>
      </c>
      <c r="B51" s="6" t="s">
        <v>60</v>
      </c>
      <c r="C51" s="6" t="s">
        <v>63</v>
      </c>
      <c r="D51" s="6" t="s">
        <v>11</v>
      </c>
      <c r="E51" s="6"/>
      <c r="F51" s="7" t="s">
        <v>62</v>
      </c>
    </row>
    <row r="52" customFormat="false" ht="15" hidden="false" customHeight="false" outlineLevel="0" collapsed="false">
      <c r="A52" s="5" t="n">
        <v>46255</v>
      </c>
      <c r="B52" s="6" t="s">
        <v>64</v>
      </c>
      <c r="C52" s="6" t="s">
        <v>61</v>
      </c>
      <c r="D52" s="6" t="s">
        <v>11</v>
      </c>
      <c r="E52" s="6"/>
      <c r="F52" s="7" t="s">
        <v>12</v>
      </c>
    </row>
    <row r="53" customFormat="false" ht="15" hidden="false" customHeight="false" outlineLevel="0" collapsed="false">
      <c r="A53" s="5" t="n">
        <v>46255</v>
      </c>
      <c r="B53" s="6" t="s">
        <v>65</v>
      </c>
      <c r="C53" s="6" t="s">
        <v>61</v>
      </c>
      <c r="D53" s="6" t="s">
        <v>11</v>
      </c>
      <c r="E53" s="6"/>
      <c r="F53" s="7" t="s">
        <v>12</v>
      </c>
    </row>
    <row r="54" customFormat="false" ht="15" hidden="false" customHeight="false" outlineLevel="0" collapsed="false">
      <c r="A54" s="5" t="n">
        <v>46255</v>
      </c>
      <c r="B54" s="6" t="s">
        <v>66</v>
      </c>
      <c r="C54" s="6" t="s">
        <v>61</v>
      </c>
      <c r="D54" s="6" t="s">
        <v>11</v>
      </c>
      <c r="E54" s="6"/>
      <c r="F54" s="7" t="s">
        <v>12</v>
      </c>
    </row>
    <row r="55" customFormat="false" ht="15" hidden="false" customHeight="false" outlineLevel="0" collapsed="false">
      <c r="A55" s="5" t="n">
        <v>46295</v>
      </c>
      <c r="B55" s="6" t="s">
        <v>35</v>
      </c>
      <c r="C55" s="6" t="s">
        <v>67</v>
      </c>
      <c r="D55" s="6" t="s">
        <v>11</v>
      </c>
      <c r="E55" s="6"/>
      <c r="F55" s="7" t="s">
        <v>12</v>
      </c>
    </row>
    <row r="56" customFormat="false" ht="15" hidden="false" customHeight="false" outlineLevel="0" collapsed="false">
      <c r="A56" s="5" t="n">
        <v>46295</v>
      </c>
      <c r="B56" s="6" t="s">
        <v>38</v>
      </c>
      <c r="C56" s="6" t="s">
        <v>67</v>
      </c>
      <c r="D56" s="6" t="s">
        <v>11</v>
      </c>
      <c r="E56" s="6"/>
      <c r="F56" s="7" t="s">
        <v>12</v>
      </c>
    </row>
    <row r="57" customFormat="false" ht="15" hidden="false" customHeight="false" outlineLevel="0" collapsed="false">
      <c r="A57" s="5" t="n">
        <v>46295</v>
      </c>
      <c r="B57" s="6" t="s">
        <v>39</v>
      </c>
      <c r="C57" s="6" t="s">
        <v>67</v>
      </c>
      <c r="D57" s="6" t="s">
        <v>11</v>
      </c>
      <c r="E57" s="6"/>
      <c r="F57" s="7" t="s">
        <v>12</v>
      </c>
    </row>
    <row r="58" customFormat="false" ht="15" hidden="false" customHeight="false" outlineLevel="0" collapsed="false">
      <c r="A58" s="5" t="n">
        <v>46295</v>
      </c>
      <c r="B58" s="6" t="s">
        <v>40</v>
      </c>
      <c r="C58" s="6" t="s">
        <v>67</v>
      </c>
      <c r="D58" s="6" t="s">
        <v>11</v>
      </c>
      <c r="E58" s="6"/>
      <c r="F58" s="7" t="s">
        <v>12</v>
      </c>
    </row>
    <row r="59" customFormat="false" ht="15" hidden="false" customHeight="false" outlineLevel="0" collapsed="false">
      <c r="A59" s="5" t="n">
        <v>46295</v>
      </c>
      <c r="B59" s="6" t="s">
        <v>41</v>
      </c>
      <c r="C59" s="6" t="s">
        <v>67</v>
      </c>
      <c r="D59" s="6" t="s">
        <v>11</v>
      </c>
      <c r="E59" s="6"/>
      <c r="F59" s="7" t="s">
        <v>12</v>
      </c>
    </row>
    <row r="60" customFormat="false" ht="15" hidden="false" customHeight="false" outlineLevel="0" collapsed="false">
      <c r="A60" s="5" t="n">
        <v>46295</v>
      </c>
      <c r="B60" s="6" t="s">
        <v>42</v>
      </c>
      <c r="C60" s="6" t="s">
        <v>67</v>
      </c>
      <c r="D60" s="6" t="s">
        <v>11</v>
      </c>
      <c r="E60" s="6"/>
      <c r="F60" s="7" t="s">
        <v>12</v>
      </c>
    </row>
    <row r="61" customFormat="false" ht="15" hidden="false" customHeight="false" outlineLevel="0" collapsed="false">
      <c r="A61" s="5" t="n">
        <v>46295</v>
      </c>
      <c r="B61" s="6" t="s">
        <v>43</v>
      </c>
      <c r="C61" s="6" t="s">
        <v>67</v>
      </c>
      <c r="D61" s="6" t="s">
        <v>11</v>
      </c>
      <c r="E61" s="6"/>
      <c r="F61" s="7" t="s">
        <v>12</v>
      </c>
    </row>
    <row r="62" customFormat="false" ht="15" hidden="false" customHeight="false" outlineLevel="0" collapsed="false">
      <c r="A62" s="5" t="n">
        <v>46295</v>
      </c>
      <c r="B62" s="6" t="s">
        <v>44</v>
      </c>
      <c r="C62" s="6" t="s">
        <v>67</v>
      </c>
      <c r="D62" s="6" t="s">
        <v>11</v>
      </c>
      <c r="E62" s="6"/>
      <c r="F62" s="7" t="s">
        <v>12</v>
      </c>
    </row>
    <row r="63" customFormat="false" ht="15" hidden="false" customHeight="false" outlineLevel="0" collapsed="false">
      <c r="A63" s="5" t="n">
        <v>46295</v>
      </c>
      <c r="B63" s="6" t="s">
        <v>45</v>
      </c>
      <c r="C63" s="6" t="s">
        <v>67</v>
      </c>
      <c r="D63" s="6" t="s">
        <v>11</v>
      </c>
      <c r="E63" s="6"/>
      <c r="F63" s="7" t="s">
        <v>12</v>
      </c>
    </row>
    <row r="64" customFormat="false" ht="15" hidden="false" customHeight="false" outlineLevel="0" collapsed="false">
      <c r="A64" s="5" t="n">
        <v>46295</v>
      </c>
      <c r="B64" s="6" t="s">
        <v>48</v>
      </c>
      <c r="C64" s="6" t="s">
        <v>67</v>
      </c>
      <c r="D64" s="6" t="s">
        <v>11</v>
      </c>
      <c r="E64" s="6"/>
      <c r="F64" s="7" t="s">
        <v>12</v>
      </c>
    </row>
    <row r="65" customFormat="false" ht="15" hidden="false" customHeight="false" outlineLevel="0" collapsed="false">
      <c r="A65" s="5" t="n">
        <v>46295</v>
      </c>
      <c r="B65" s="6" t="s">
        <v>49</v>
      </c>
      <c r="C65" s="6" t="s">
        <v>67</v>
      </c>
      <c r="D65" s="6" t="s">
        <v>11</v>
      </c>
      <c r="E65" s="6"/>
      <c r="F65" s="7" t="s">
        <v>12</v>
      </c>
    </row>
    <row r="66" customFormat="false" ht="15" hidden="false" customHeight="false" outlineLevel="0" collapsed="false">
      <c r="A66" s="5" t="n">
        <v>46295</v>
      </c>
      <c r="B66" s="6" t="s">
        <v>50</v>
      </c>
      <c r="C66" s="6" t="s">
        <v>67</v>
      </c>
      <c r="D66" s="6" t="s">
        <v>11</v>
      </c>
      <c r="E66" s="6"/>
      <c r="F66" s="7" t="s">
        <v>12</v>
      </c>
    </row>
    <row r="67" customFormat="false" ht="15" hidden="false" customHeight="false" outlineLevel="0" collapsed="false">
      <c r="A67" s="5" t="n">
        <v>46295</v>
      </c>
      <c r="B67" s="6" t="s">
        <v>51</v>
      </c>
      <c r="C67" s="6" t="s">
        <v>67</v>
      </c>
      <c r="D67" s="6" t="s">
        <v>11</v>
      </c>
      <c r="E67" s="6"/>
      <c r="F67" s="7" t="s">
        <v>12</v>
      </c>
    </row>
    <row r="68" customFormat="false" ht="15" hidden="false" customHeight="false" outlineLevel="0" collapsed="false">
      <c r="A68" s="5" t="n">
        <v>46295</v>
      </c>
      <c r="B68" s="6" t="s">
        <v>52</v>
      </c>
      <c r="C68" s="6" t="s">
        <v>67</v>
      </c>
      <c r="D68" s="6" t="s">
        <v>11</v>
      </c>
      <c r="E68" s="6"/>
      <c r="F68" s="7" t="s">
        <v>12</v>
      </c>
    </row>
    <row r="69" customFormat="false" ht="15" hidden="false" customHeight="false" outlineLevel="0" collapsed="false">
      <c r="A69" s="5" t="n">
        <v>46295</v>
      </c>
      <c r="B69" s="6" t="s">
        <v>53</v>
      </c>
      <c r="C69" s="6" t="s">
        <v>67</v>
      </c>
      <c r="D69" s="6" t="s">
        <v>11</v>
      </c>
      <c r="E69" s="6"/>
      <c r="F69" s="7" t="s">
        <v>12</v>
      </c>
    </row>
    <row r="70" customFormat="false" ht="15" hidden="false" customHeight="false" outlineLevel="0" collapsed="false">
      <c r="A70" s="5" t="n">
        <v>46295</v>
      </c>
      <c r="B70" s="6" t="s">
        <v>54</v>
      </c>
      <c r="C70" s="6" t="s">
        <v>67</v>
      </c>
      <c r="D70" s="6" t="s">
        <v>11</v>
      </c>
      <c r="E70" s="6"/>
      <c r="F70" s="7" t="s">
        <v>12</v>
      </c>
    </row>
    <row r="71" customFormat="false" ht="15" hidden="false" customHeight="false" outlineLevel="0" collapsed="false">
      <c r="A71" s="5" t="n">
        <v>46295</v>
      </c>
      <c r="B71" s="6" t="s">
        <v>55</v>
      </c>
      <c r="C71" s="6" t="s">
        <v>67</v>
      </c>
      <c r="D71" s="6" t="s">
        <v>11</v>
      </c>
      <c r="E71" s="6"/>
      <c r="F71" s="7" t="s">
        <v>12</v>
      </c>
    </row>
    <row r="72" customFormat="false" ht="15" hidden="false" customHeight="false" outlineLevel="0" collapsed="false">
      <c r="A72" s="5" t="n">
        <v>46295</v>
      </c>
      <c r="B72" s="6" t="s">
        <v>56</v>
      </c>
      <c r="C72" s="6" t="s">
        <v>67</v>
      </c>
      <c r="D72" s="6" t="s">
        <v>11</v>
      </c>
      <c r="E72" s="6"/>
      <c r="F72" s="7" t="s">
        <v>12</v>
      </c>
    </row>
    <row r="73" customFormat="false" ht="15" hidden="false" customHeight="false" outlineLevel="0" collapsed="false">
      <c r="A73" s="5" t="n">
        <v>46295</v>
      </c>
      <c r="B73" s="6" t="s">
        <v>57</v>
      </c>
      <c r="C73" s="6" t="s">
        <v>67</v>
      </c>
      <c r="D73" s="6" t="s">
        <v>11</v>
      </c>
      <c r="E73" s="6"/>
      <c r="F73" s="7" t="s">
        <v>12</v>
      </c>
    </row>
    <row r="74" customFormat="false" ht="15" hidden="false" customHeight="false" outlineLevel="0" collapsed="false">
      <c r="A74" s="5" t="n">
        <v>46295</v>
      </c>
      <c r="B74" s="6" t="s">
        <v>58</v>
      </c>
      <c r="C74" s="6" t="s">
        <v>67</v>
      </c>
      <c r="D74" s="6" t="s">
        <v>11</v>
      </c>
      <c r="E74" s="6"/>
      <c r="F74" s="7" t="s">
        <v>12</v>
      </c>
    </row>
    <row r="75" customFormat="false" ht="15" hidden="false" customHeight="false" outlineLevel="0" collapsed="false">
      <c r="A75" s="5" t="n">
        <v>46295</v>
      </c>
      <c r="B75" s="6" t="s">
        <v>59</v>
      </c>
      <c r="C75" s="6" t="s">
        <v>67</v>
      </c>
      <c r="D75" s="6" t="s">
        <v>11</v>
      </c>
      <c r="E75" s="6"/>
      <c r="F75" s="7" t="s">
        <v>12</v>
      </c>
    </row>
    <row r="76" customFormat="false" ht="15" hidden="false" customHeight="false" outlineLevel="0" collapsed="false">
      <c r="A76" s="5" t="n">
        <v>46295</v>
      </c>
      <c r="B76" s="6" t="s">
        <v>64</v>
      </c>
      <c r="C76" s="6" t="s">
        <v>68</v>
      </c>
      <c r="D76" s="6" t="s">
        <v>11</v>
      </c>
      <c r="E76" s="6"/>
      <c r="F76" s="7" t="s">
        <v>12</v>
      </c>
    </row>
    <row r="77" customFormat="false" ht="15" hidden="false" customHeight="false" outlineLevel="0" collapsed="false">
      <c r="A77" s="5" t="n">
        <v>46295</v>
      </c>
      <c r="B77" s="6" t="s">
        <v>60</v>
      </c>
      <c r="C77" s="6" t="s">
        <v>68</v>
      </c>
      <c r="D77" s="6" t="s">
        <v>11</v>
      </c>
      <c r="E77" s="6"/>
      <c r="F77" s="7" t="s">
        <v>62</v>
      </c>
    </row>
    <row r="78" customFormat="false" ht="15" hidden="false" customHeight="false" outlineLevel="0" collapsed="false">
      <c r="A78" s="5" t="n">
        <v>46295</v>
      </c>
      <c r="B78" s="6" t="s">
        <v>65</v>
      </c>
      <c r="C78" s="6" t="s">
        <v>68</v>
      </c>
      <c r="D78" s="6" t="s">
        <v>11</v>
      </c>
      <c r="E78" s="6"/>
      <c r="F78" s="7" t="s">
        <v>12</v>
      </c>
    </row>
    <row r="79" customFormat="false" ht="15" hidden="false" customHeight="false" outlineLevel="0" collapsed="false">
      <c r="A79" s="5" t="n">
        <v>46295</v>
      </c>
      <c r="B79" s="6" t="s">
        <v>66</v>
      </c>
      <c r="C79" s="6" t="s">
        <v>68</v>
      </c>
      <c r="D79" s="6" t="s">
        <v>11</v>
      </c>
      <c r="E79" s="6"/>
      <c r="F79" s="7" t="s">
        <v>12</v>
      </c>
    </row>
    <row r="80" customFormat="false" ht="15" hidden="false" customHeight="false" outlineLevel="0" collapsed="false">
      <c r="A80" s="5" t="n">
        <v>46295</v>
      </c>
      <c r="B80" s="6" t="s">
        <v>69</v>
      </c>
      <c r="C80" s="6" t="s">
        <v>70</v>
      </c>
      <c r="D80" s="6" t="s">
        <v>11</v>
      </c>
      <c r="E80" s="6"/>
      <c r="F80" s="7" t="s">
        <v>12</v>
      </c>
    </row>
    <row r="81" customFormat="false" ht="15" hidden="false" customHeight="false" outlineLevel="0" collapsed="false">
      <c r="A81" s="5" t="n">
        <v>46295</v>
      </c>
      <c r="B81" s="6" t="s">
        <v>71</v>
      </c>
      <c r="C81" s="6" t="s">
        <v>70</v>
      </c>
      <c r="D81" s="6" t="s">
        <v>11</v>
      </c>
      <c r="E81" s="6"/>
      <c r="F81" s="7" t="s">
        <v>12</v>
      </c>
    </row>
    <row r="82" customFormat="false" ht="15" hidden="false" customHeight="false" outlineLevel="0" collapsed="false">
      <c r="A82" s="5" t="n">
        <v>46301</v>
      </c>
      <c r="B82" s="6" t="s">
        <v>9</v>
      </c>
      <c r="C82" s="6" t="s">
        <v>72</v>
      </c>
      <c r="D82" s="6" t="s">
        <v>11</v>
      </c>
      <c r="E82" s="6"/>
      <c r="F82" s="7" t="s">
        <v>12</v>
      </c>
    </row>
    <row r="83" customFormat="false" ht="15" hidden="false" customHeight="false" outlineLevel="0" collapsed="false">
      <c r="A83" s="5" t="n">
        <v>46301</v>
      </c>
      <c r="B83" s="6" t="s">
        <v>13</v>
      </c>
      <c r="C83" s="6" t="s">
        <v>72</v>
      </c>
      <c r="D83" s="6" t="s">
        <v>11</v>
      </c>
      <c r="E83" s="6"/>
      <c r="F83" s="7" t="s">
        <v>12</v>
      </c>
    </row>
    <row r="84" customFormat="false" ht="15" hidden="false" customHeight="false" outlineLevel="0" collapsed="false">
      <c r="A84" s="5" t="n">
        <v>46301</v>
      </c>
      <c r="B84" s="6" t="s">
        <v>14</v>
      </c>
      <c r="C84" s="6" t="s">
        <v>72</v>
      </c>
      <c r="D84" s="6" t="s">
        <v>11</v>
      </c>
      <c r="E84" s="6"/>
      <c r="F84" s="7" t="s">
        <v>12</v>
      </c>
    </row>
    <row r="85" customFormat="false" ht="15" hidden="false" customHeight="false" outlineLevel="0" collapsed="false">
      <c r="A85" s="5" t="n">
        <v>46301</v>
      </c>
      <c r="B85" s="6" t="s">
        <v>15</v>
      </c>
      <c r="C85" s="6" t="s">
        <v>72</v>
      </c>
      <c r="D85" s="6" t="s">
        <v>11</v>
      </c>
      <c r="E85" s="6"/>
      <c r="F85" s="7" t="s">
        <v>12</v>
      </c>
    </row>
    <row r="86" customFormat="false" ht="15" hidden="false" customHeight="false" outlineLevel="0" collapsed="false">
      <c r="A86" s="5" t="n">
        <v>46301</v>
      </c>
      <c r="B86" s="6" t="s">
        <v>16</v>
      </c>
      <c r="C86" s="6" t="s">
        <v>72</v>
      </c>
      <c r="D86" s="6" t="s">
        <v>11</v>
      </c>
      <c r="E86" s="6"/>
      <c r="F86" s="7" t="s">
        <v>12</v>
      </c>
    </row>
    <row r="87" customFormat="false" ht="15" hidden="false" customHeight="false" outlineLevel="0" collapsed="false">
      <c r="A87" s="5" t="n">
        <v>46301</v>
      </c>
      <c r="B87" s="6" t="s">
        <v>17</v>
      </c>
      <c r="C87" s="6" t="s">
        <v>72</v>
      </c>
      <c r="D87" s="6" t="s">
        <v>11</v>
      </c>
      <c r="E87" s="6"/>
      <c r="F87" s="7" t="s">
        <v>12</v>
      </c>
    </row>
    <row r="88" customFormat="false" ht="15" hidden="false" customHeight="false" outlineLevel="0" collapsed="false">
      <c r="A88" s="5" t="n">
        <v>46301</v>
      </c>
      <c r="B88" s="6" t="s">
        <v>18</v>
      </c>
      <c r="C88" s="6" t="s">
        <v>72</v>
      </c>
      <c r="D88" s="6" t="s">
        <v>11</v>
      </c>
      <c r="E88" s="6"/>
      <c r="F88" s="7" t="s">
        <v>12</v>
      </c>
    </row>
    <row r="89" customFormat="false" ht="15" hidden="false" customHeight="false" outlineLevel="0" collapsed="false">
      <c r="A89" s="5" t="n">
        <v>46301</v>
      </c>
      <c r="B89" s="6" t="s">
        <v>19</v>
      </c>
      <c r="C89" s="6" t="s">
        <v>72</v>
      </c>
      <c r="D89" s="6" t="s">
        <v>11</v>
      </c>
      <c r="E89" s="6"/>
      <c r="F89" s="7" t="s">
        <v>12</v>
      </c>
    </row>
    <row r="90" customFormat="false" ht="15" hidden="false" customHeight="false" outlineLevel="0" collapsed="false">
      <c r="A90" s="5" t="n">
        <v>46301</v>
      </c>
      <c r="B90" s="6" t="s">
        <v>20</v>
      </c>
      <c r="C90" s="6" t="s">
        <v>72</v>
      </c>
      <c r="D90" s="6" t="s">
        <v>11</v>
      </c>
      <c r="E90" s="6"/>
      <c r="F90" s="7" t="s">
        <v>12</v>
      </c>
    </row>
    <row r="91" customFormat="false" ht="15" hidden="false" customHeight="false" outlineLevel="0" collapsed="false">
      <c r="A91" s="5" t="n">
        <v>46301</v>
      </c>
      <c r="B91" s="6" t="s">
        <v>21</v>
      </c>
      <c r="C91" s="6" t="s">
        <v>72</v>
      </c>
      <c r="D91" s="6" t="s">
        <v>11</v>
      </c>
      <c r="E91" s="6"/>
      <c r="F91" s="7" t="s">
        <v>12</v>
      </c>
    </row>
    <row r="92" customFormat="false" ht="15" hidden="false" customHeight="false" outlineLevel="0" collapsed="false">
      <c r="A92" s="5" t="n">
        <v>46301</v>
      </c>
      <c r="B92" s="6" t="s">
        <v>22</v>
      </c>
      <c r="C92" s="6" t="s">
        <v>72</v>
      </c>
      <c r="D92" s="6" t="s">
        <v>11</v>
      </c>
      <c r="E92" s="6"/>
      <c r="F92" s="7" t="s">
        <v>12</v>
      </c>
    </row>
    <row r="93" customFormat="false" ht="15" hidden="false" customHeight="false" outlineLevel="0" collapsed="false">
      <c r="A93" s="5" t="n">
        <v>46301</v>
      </c>
      <c r="B93" s="6" t="s">
        <v>23</v>
      </c>
      <c r="C93" s="6" t="s">
        <v>72</v>
      </c>
      <c r="D93" s="6" t="s">
        <v>11</v>
      </c>
      <c r="E93" s="6"/>
      <c r="F93" s="7" t="s">
        <v>12</v>
      </c>
    </row>
    <row r="94" customFormat="false" ht="15" hidden="false" customHeight="false" outlineLevel="0" collapsed="false">
      <c r="A94" s="5" t="n">
        <v>46301</v>
      </c>
      <c r="B94" s="6" t="s">
        <v>24</v>
      </c>
      <c r="C94" s="6" t="s">
        <v>72</v>
      </c>
      <c r="D94" s="6" t="s">
        <v>11</v>
      </c>
      <c r="E94" s="6"/>
      <c r="F94" s="7" t="s">
        <v>12</v>
      </c>
    </row>
    <row r="95" customFormat="false" ht="15" hidden="false" customHeight="false" outlineLevel="0" collapsed="false">
      <c r="A95" s="5" t="n">
        <v>46301</v>
      </c>
      <c r="B95" s="6" t="s">
        <v>25</v>
      </c>
      <c r="C95" s="6" t="s">
        <v>72</v>
      </c>
      <c r="D95" s="6" t="s">
        <v>11</v>
      </c>
      <c r="E95" s="6"/>
      <c r="F95" s="7" t="s">
        <v>12</v>
      </c>
    </row>
    <row r="96" customFormat="false" ht="15" hidden="false" customHeight="false" outlineLevel="0" collapsed="false">
      <c r="A96" s="5" t="n">
        <v>46301</v>
      </c>
      <c r="B96" s="6" t="s">
        <v>26</v>
      </c>
      <c r="C96" s="6" t="s">
        <v>72</v>
      </c>
      <c r="D96" s="6" t="s">
        <v>11</v>
      </c>
      <c r="E96" s="6"/>
      <c r="F96" s="7" t="s">
        <v>12</v>
      </c>
    </row>
    <row r="97" customFormat="false" ht="15" hidden="false" customHeight="false" outlineLevel="0" collapsed="false">
      <c r="A97" s="5" t="n">
        <v>46301</v>
      </c>
      <c r="B97" s="6" t="s">
        <v>27</v>
      </c>
      <c r="C97" s="6" t="s">
        <v>72</v>
      </c>
      <c r="D97" s="6" t="s">
        <v>11</v>
      </c>
      <c r="E97" s="6"/>
      <c r="F97" s="7" t="s">
        <v>12</v>
      </c>
    </row>
    <row r="98" customFormat="false" ht="15" hidden="false" customHeight="false" outlineLevel="0" collapsed="false">
      <c r="A98" s="5" t="n">
        <v>46301</v>
      </c>
      <c r="B98" s="6" t="s">
        <v>28</v>
      </c>
      <c r="C98" s="6" t="s">
        <v>72</v>
      </c>
      <c r="D98" s="6" t="s">
        <v>11</v>
      </c>
      <c r="E98" s="6"/>
      <c r="F98" s="7" t="s">
        <v>12</v>
      </c>
    </row>
    <row r="99" customFormat="false" ht="15" hidden="false" customHeight="false" outlineLevel="0" collapsed="false">
      <c r="A99" s="5" t="n">
        <v>46301</v>
      </c>
      <c r="B99" s="6" t="s">
        <v>29</v>
      </c>
      <c r="C99" s="6" t="s">
        <v>72</v>
      </c>
      <c r="D99" s="6" t="s">
        <v>11</v>
      </c>
      <c r="E99" s="6"/>
      <c r="F99" s="7" t="s">
        <v>12</v>
      </c>
    </row>
    <row r="100" customFormat="false" ht="15" hidden="false" customHeight="false" outlineLevel="0" collapsed="false">
      <c r="A100" s="5" t="n">
        <v>46301</v>
      </c>
      <c r="B100" s="6" t="s">
        <v>30</v>
      </c>
      <c r="C100" s="6" t="s">
        <v>72</v>
      </c>
      <c r="D100" s="6" t="s">
        <v>11</v>
      </c>
      <c r="E100" s="6"/>
      <c r="F100" s="7" t="s">
        <v>12</v>
      </c>
    </row>
    <row r="101" customFormat="false" ht="15" hidden="false" customHeight="false" outlineLevel="0" collapsed="false">
      <c r="A101" s="5" t="n">
        <v>46301</v>
      </c>
      <c r="B101" s="6" t="s">
        <v>31</v>
      </c>
      <c r="C101" s="6" t="s">
        <v>72</v>
      </c>
      <c r="D101" s="6" t="s">
        <v>11</v>
      </c>
      <c r="E101" s="6"/>
      <c r="F101" s="7" t="s">
        <v>12</v>
      </c>
    </row>
    <row r="102" customFormat="false" ht="15" hidden="false" customHeight="false" outlineLevel="0" collapsed="false">
      <c r="A102" s="5" t="n">
        <v>46301</v>
      </c>
      <c r="B102" s="6" t="s">
        <v>32</v>
      </c>
      <c r="C102" s="6" t="s">
        <v>72</v>
      </c>
      <c r="D102" s="6" t="s">
        <v>11</v>
      </c>
      <c r="E102" s="6"/>
      <c r="F102" s="7" t="s">
        <v>12</v>
      </c>
    </row>
    <row r="103" customFormat="false" ht="15" hidden="false" customHeight="false" outlineLevel="0" collapsed="false">
      <c r="A103" s="5" t="n">
        <v>46301</v>
      </c>
      <c r="B103" s="6" t="s">
        <v>33</v>
      </c>
      <c r="C103" s="6" t="s">
        <v>72</v>
      </c>
      <c r="D103" s="6" t="s">
        <v>11</v>
      </c>
      <c r="E103" s="6"/>
      <c r="F103" s="7" t="s">
        <v>12</v>
      </c>
    </row>
    <row r="104" customFormat="false" ht="15" hidden="false" customHeight="false" outlineLevel="0" collapsed="false">
      <c r="A104" s="5" t="n">
        <v>46301</v>
      </c>
      <c r="B104" s="6" t="s">
        <v>34</v>
      </c>
      <c r="C104" s="6" t="s">
        <v>72</v>
      </c>
      <c r="D104" s="6" t="s">
        <v>11</v>
      </c>
      <c r="E104" s="6"/>
      <c r="F104" s="7" t="s">
        <v>12</v>
      </c>
    </row>
    <row r="105" customFormat="false" ht="15" hidden="false" customHeight="false" outlineLevel="0" collapsed="false">
      <c r="A105" s="5" t="n">
        <v>46314</v>
      </c>
      <c r="B105" s="6" t="s">
        <v>60</v>
      </c>
      <c r="C105" s="6" t="s">
        <v>61</v>
      </c>
      <c r="D105" s="6" t="s">
        <v>11</v>
      </c>
      <c r="E105" s="6"/>
      <c r="F105" s="7" t="s">
        <v>73</v>
      </c>
    </row>
    <row r="106" customFormat="false" ht="15" hidden="false" customHeight="false" outlineLevel="0" collapsed="false">
      <c r="A106" s="5" t="n">
        <v>46314</v>
      </c>
      <c r="B106" s="6" t="s">
        <v>60</v>
      </c>
      <c r="C106" s="6" t="s">
        <v>63</v>
      </c>
      <c r="D106" s="6" t="s">
        <v>11</v>
      </c>
      <c r="E106" s="6"/>
      <c r="F106" s="7" t="s">
        <v>73</v>
      </c>
    </row>
    <row r="107" customFormat="false" ht="15" hidden="false" customHeight="false" outlineLevel="0" collapsed="false">
      <c r="A107" s="5" t="n">
        <v>46314</v>
      </c>
      <c r="B107" s="6" t="s">
        <v>60</v>
      </c>
      <c r="C107" s="6" t="s">
        <v>68</v>
      </c>
      <c r="D107" s="6" t="s">
        <v>11</v>
      </c>
      <c r="E107" s="6"/>
      <c r="F107" s="7" t="s">
        <v>73</v>
      </c>
    </row>
    <row r="108" customFormat="false" ht="15" hidden="false" customHeight="false" outlineLevel="0" collapsed="false">
      <c r="A108" s="5" t="n">
        <v>46314</v>
      </c>
      <c r="B108" s="6" t="s">
        <v>74</v>
      </c>
      <c r="C108" s="6" t="s">
        <v>61</v>
      </c>
      <c r="D108" s="6" t="s">
        <v>11</v>
      </c>
      <c r="E108" s="6"/>
      <c r="F108" s="7" t="s">
        <v>73</v>
      </c>
    </row>
    <row r="109" customFormat="false" ht="15" hidden="false" customHeight="false" outlineLevel="0" collapsed="false">
      <c r="A109" s="5" t="n">
        <v>46314</v>
      </c>
      <c r="B109" s="6" t="s">
        <v>74</v>
      </c>
      <c r="C109" s="6" t="s">
        <v>63</v>
      </c>
      <c r="D109" s="6" t="s">
        <v>11</v>
      </c>
      <c r="E109" s="6"/>
      <c r="F109" s="7" t="s">
        <v>73</v>
      </c>
    </row>
    <row r="110" customFormat="false" ht="15" hidden="false" customHeight="false" outlineLevel="0" collapsed="false">
      <c r="A110" s="5" t="n">
        <v>46314</v>
      </c>
      <c r="B110" s="6" t="s">
        <v>74</v>
      </c>
      <c r="C110" s="6" t="s">
        <v>68</v>
      </c>
      <c r="D110" s="6" t="s">
        <v>11</v>
      </c>
      <c r="E110" s="6"/>
      <c r="F110" s="7" t="s">
        <v>73</v>
      </c>
    </row>
    <row r="111" customFormat="false" ht="15" hidden="false" customHeight="false" outlineLevel="0" collapsed="false">
      <c r="A111" s="5" t="n">
        <v>46315</v>
      </c>
      <c r="B111" s="6" t="s">
        <v>65</v>
      </c>
      <c r="C111" s="6" t="s">
        <v>68</v>
      </c>
      <c r="D111" s="6" t="s">
        <v>11</v>
      </c>
      <c r="E111" s="6"/>
      <c r="F111" s="7" t="s">
        <v>73</v>
      </c>
    </row>
    <row r="112" customFormat="false" ht="15" hidden="false" customHeight="false" outlineLevel="0" collapsed="false">
      <c r="A112" s="5" t="n">
        <v>46316</v>
      </c>
      <c r="B112" s="6" t="s">
        <v>64</v>
      </c>
      <c r="C112" s="6" t="s">
        <v>68</v>
      </c>
      <c r="D112" s="6" t="s">
        <v>11</v>
      </c>
      <c r="E112" s="6"/>
      <c r="F112" s="7" t="s">
        <v>73</v>
      </c>
    </row>
    <row r="113" customFormat="false" ht="15" hidden="false" customHeight="false" outlineLevel="0" collapsed="false">
      <c r="A113" s="5" t="n">
        <v>46316</v>
      </c>
      <c r="B113" s="6" t="s">
        <v>66</v>
      </c>
      <c r="C113" s="6" t="s">
        <v>68</v>
      </c>
      <c r="D113" s="6" t="s">
        <v>11</v>
      </c>
      <c r="E113" s="6"/>
      <c r="F113" s="7" t="s">
        <v>73</v>
      </c>
    </row>
    <row r="114" customFormat="false" ht="15" hidden="false" customHeight="false" outlineLevel="0" collapsed="false">
      <c r="A114" s="5" t="n">
        <v>46321</v>
      </c>
      <c r="B114" s="6" t="s">
        <v>35</v>
      </c>
      <c r="C114" s="6" t="s">
        <v>67</v>
      </c>
      <c r="D114" s="6" t="s">
        <v>11</v>
      </c>
      <c r="E114" s="6" t="s">
        <v>75</v>
      </c>
      <c r="F114" s="7"/>
    </row>
    <row r="115" customFormat="false" ht="15" hidden="false" customHeight="false" outlineLevel="0" collapsed="false">
      <c r="A115" s="5" t="n">
        <v>46321</v>
      </c>
      <c r="B115" s="6" t="s">
        <v>38</v>
      </c>
      <c r="C115" s="6" t="s">
        <v>67</v>
      </c>
      <c r="D115" s="6" t="s">
        <v>11</v>
      </c>
      <c r="E115" s="6" t="s">
        <v>75</v>
      </c>
      <c r="F115" s="7"/>
    </row>
    <row r="116" customFormat="false" ht="15" hidden="false" customHeight="false" outlineLevel="0" collapsed="false">
      <c r="A116" s="5" t="n">
        <v>46321</v>
      </c>
      <c r="B116" s="6" t="s">
        <v>39</v>
      </c>
      <c r="C116" s="6" t="s">
        <v>67</v>
      </c>
      <c r="D116" s="6" t="s">
        <v>11</v>
      </c>
      <c r="E116" s="6" t="s">
        <v>75</v>
      </c>
      <c r="F116" s="7"/>
    </row>
    <row r="117" customFormat="false" ht="15" hidden="false" customHeight="false" outlineLevel="0" collapsed="false">
      <c r="A117" s="5" t="n">
        <v>46321</v>
      </c>
      <c r="B117" s="6" t="s">
        <v>40</v>
      </c>
      <c r="C117" s="6" t="s">
        <v>67</v>
      </c>
      <c r="D117" s="6" t="s">
        <v>11</v>
      </c>
      <c r="E117" s="6" t="s">
        <v>75</v>
      </c>
      <c r="F117" s="7"/>
    </row>
    <row r="118" customFormat="false" ht="15" hidden="false" customHeight="false" outlineLevel="0" collapsed="false">
      <c r="A118" s="5" t="n">
        <v>46321</v>
      </c>
      <c r="B118" s="6" t="s">
        <v>41</v>
      </c>
      <c r="C118" s="6" t="s">
        <v>67</v>
      </c>
      <c r="D118" s="6" t="s">
        <v>11</v>
      </c>
      <c r="E118" s="6" t="s">
        <v>75</v>
      </c>
      <c r="F118" s="7"/>
    </row>
    <row r="119" customFormat="false" ht="15" hidden="false" customHeight="false" outlineLevel="0" collapsed="false">
      <c r="A119" s="5" t="n">
        <v>46321</v>
      </c>
      <c r="B119" s="6" t="s">
        <v>42</v>
      </c>
      <c r="C119" s="6" t="s">
        <v>67</v>
      </c>
      <c r="D119" s="6" t="s">
        <v>11</v>
      </c>
      <c r="E119" s="6" t="s">
        <v>75</v>
      </c>
      <c r="F119" s="7"/>
    </row>
    <row r="120" customFormat="false" ht="15" hidden="false" customHeight="false" outlineLevel="0" collapsed="false">
      <c r="A120" s="5" t="n">
        <v>46321</v>
      </c>
      <c r="B120" s="6" t="s">
        <v>43</v>
      </c>
      <c r="C120" s="6" t="s">
        <v>67</v>
      </c>
      <c r="D120" s="6" t="s">
        <v>11</v>
      </c>
      <c r="E120" s="6" t="s">
        <v>75</v>
      </c>
      <c r="F120" s="7"/>
    </row>
    <row r="121" customFormat="false" ht="15" hidden="false" customHeight="false" outlineLevel="0" collapsed="false">
      <c r="A121" s="5" t="n">
        <v>46321</v>
      </c>
      <c r="B121" s="6" t="s">
        <v>44</v>
      </c>
      <c r="C121" s="6" t="s">
        <v>67</v>
      </c>
      <c r="D121" s="6" t="s">
        <v>11</v>
      </c>
      <c r="E121" s="6" t="s">
        <v>75</v>
      </c>
      <c r="F121" s="7"/>
    </row>
    <row r="122" customFormat="false" ht="15" hidden="false" customHeight="false" outlineLevel="0" collapsed="false">
      <c r="A122" s="5" t="n">
        <v>46321</v>
      </c>
      <c r="B122" s="6" t="s">
        <v>45</v>
      </c>
      <c r="C122" s="6" t="s">
        <v>67</v>
      </c>
      <c r="D122" s="6" t="s">
        <v>11</v>
      </c>
      <c r="E122" s="6" t="s">
        <v>75</v>
      </c>
      <c r="F122" s="7"/>
    </row>
    <row r="123" customFormat="false" ht="15" hidden="false" customHeight="false" outlineLevel="0" collapsed="false">
      <c r="A123" s="5" t="n">
        <v>46321</v>
      </c>
      <c r="B123" s="6" t="s">
        <v>48</v>
      </c>
      <c r="C123" s="6" t="s">
        <v>67</v>
      </c>
      <c r="D123" s="6" t="s">
        <v>11</v>
      </c>
      <c r="E123" s="6" t="s">
        <v>75</v>
      </c>
      <c r="F123" s="7"/>
    </row>
    <row r="124" customFormat="false" ht="15" hidden="false" customHeight="false" outlineLevel="0" collapsed="false">
      <c r="A124" s="5" t="n">
        <v>46321</v>
      </c>
      <c r="B124" s="6" t="s">
        <v>49</v>
      </c>
      <c r="C124" s="6" t="s">
        <v>67</v>
      </c>
      <c r="D124" s="6" t="s">
        <v>11</v>
      </c>
      <c r="E124" s="6" t="s">
        <v>75</v>
      </c>
      <c r="F124" s="7"/>
    </row>
    <row r="125" customFormat="false" ht="15" hidden="false" customHeight="false" outlineLevel="0" collapsed="false">
      <c r="A125" s="5" t="n">
        <v>46321</v>
      </c>
      <c r="B125" s="6" t="s">
        <v>50</v>
      </c>
      <c r="C125" s="6" t="s">
        <v>67</v>
      </c>
      <c r="D125" s="6" t="s">
        <v>11</v>
      </c>
      <c r="E125" s="6" t="s">
        <v>75</v>
      </c>
      <c r="F125" s="7"/>
    </row>
    <row r="126" customFormat="false" ht="15" hidden="false" customHeight="false" outlineLevel="0" collapsed="false">
      <c r="A126" s="5" t="n">
        <v>46321</v>
      </c>
      <c r="B126" s="6" t="s">
        <v>51</v>
      </c>
      <c r="C126" s="6" t="s">
        <v>67</v>
      </c>
      <c r="D126" s="6" t="s">
        <v>11</v>
      </c>
      <c r="E126" s="6" t="s">
        <v>75</v>
      </c>
      <c r="F126" s="7"/>
    </row>
    <row r="127" customFormat="false" ht="15" hidden="false" customHeight="false" outlineLevel="0" collapsed="false">
      <c r="A127" s="5" t="n">
        <v>46321</v>
      </c>
      <c r="B127" s="6" t="s">
        <v>52</v>
      </c>
      <c r="C127" s="6" t="s">
        <v>67</v>
      </c>
      <c r="D127" s="6" t="s">
        <v>11</v>
      </c>
      <c r="E127" s="6" t="s">
        <v>75</v>
      </c>
      <c r="F127" s="7"/>
    </row>
    <row r="128" customFormat="false" ht="15" hidden="false" customHeight="false" outlineLevel="0" collapsed="false">
      <c r="A128" s="5" t="n">
        <v>46321</v>
      </c>
      <c r="B128" s="6" t="s">
        <v>53</v>
      </c>
      <c r="C128" s="6" t="s">
        <v>67</v>
      </c>
      <c r="D128" s="6" t="s">
        <v>11</v>
      </c>
      <c r="E128" s="6" t="s">
        <v>75</v>
      </c>
      <c r="F128" s="7"/>
    </row>
    <row r="129" customFormat="false" ht="15" hidden="false" customHeight="false" outlineLevel="0" collapsed="false">
      <c r="A129" s="5" t="n">
        <v>46321</v>
      </c>
      <c r="B129" s="6" t="s">
        <v>54</v>
      </c>
      <c r="C129" s="6" t="s">
        <v>67</v>
      </c>
      <c r="D129" s="6" t="s">
        <v>11</v>
      </c>
      <c r="E129" s="6" t="s">
        <v>75</v>
      </c>
      <c r="F129" s="7"/>
    </row>
    <row r="130" customFormat="false" ht="15" hidden="false" customHeight="false" outlineLevel="0" collapsed="false">
      <c r="A130" s="5" t="n">
        <v>46321</v>
      </c>
      <c r="B130" s="6" t="s">
        <v>55</v>
      </c>
      <c r="C130" s="6" t="s">
        <v>67</v>
      </c>
      <c r="D130" s="6" t="s">
        <v>11</v>
      </c>
      <c r="E130" s="6" t="s">
        <v>75</v>
      </c>
      <c r="F130" s="7"/>
    </row>
    <row r="131" customFormat="false" ht="15" hidden="false" customHeight="false" outlineLevel="0" collapsed="false">
      <c r="A131" s="5" t="n">
        <v>46321</v>
      </c>
      <c r="B131" s="6" t="s">
        <v>56</v>
      </c>
      <c r="C131" s="6" t="s">
        <v>67</v>
      </c>
      <c r="D131" s="6" t="s">
        <v>11</v>
      </c>
      <c r="E131" s="6" t="s">
        <v>75</v>
      </c>
      <c r="F131" s="7"/>
    </row>
    <row r="132" customFormat="false" ht="15" hidden="false" customHeight="false" outlineLevel="0" collapsed="false">
      <c r="A132" s="5" t="n">
        <v>46321</v>
      </c>
      <c r="B132" s="6" t="s">
        <v>57</v>
      </c>
      <c r="C132" s="6" t="s">
        <v>67</v>
      </c>
      <c r="D132" s="6" t="s">
        <v>11</v>
      </c>
      <c r="E132" s="6" t="s">
        <v>75</v>
      </c>
      <c r="F132" s="7"/>
    </row>
    <row r="133" customFormat="false" ht="15" hidden="false" customHeight="false" outlineLevel="0" collapsed="false">
      <c r="A133" s="5" t="n">
        <v>46321</v>
      </c>
      <c r="B133" s="6" t="s">
        <v>58</v>
      </c>
      <c r="C133" s="6" t="s">
        <v>67</v>
      </c>
      <c r="D133" s="6" t="s">
        <v>11</v>
      </c>
      <c r="E133" s="6" t="s">
        <v>75</v>
      </c>
      <c r="F133" s="7"/>
    </row>
    <row r="134" customFormat="false" ht="15" hidden="false" customHeight="false" outlineLevel="0" collapsed="false">
      <c r="A134" s="5" t="n">
        <v>46321</v>
      </c>
      <c r="B134" s="6" t="s">
        <v>59</v>
      </c>
      <c r="C134" s="6" t="s">
        <v>67</v>
      </c>
      <c r="D134" s="6" t="s">
        <v>11</v>
      </c>
      <c r="E134" s="6" t="s">
        <v>75</v>
      </c>
      <c r="F134" s="7"/>
    </row>
    <row r="135" customFormat="false" ht="15" hidden="false" customHeight="false" outlineLevel="0" collapsed="false">
      <c r="A135" s="5" t="n">
        <v>46321</v>
      </c>
      <c r="B135" s="6" t="s">
        <v>64</v>
      </c>
      <c r="C135" s="6" t="s">
        <v>68</v>
      </c>
      <c r="D135" s="6" t="s">
        <v>11</v>
      </c>
      <c r="E135" s="6" t="s">
        <v>75</v>
      </c>
      <c r="F135" s="7"/>
    </row>
    <row r="136" customFormat="false" ht="15" hidden="false" customHeight="false" outlineLevel="0" collapsed="false">
      <c r="A136" s="5" t="n">
        <v>46321</v>
      </c>
      <c r="B136" s="6" t="s">
        <v>60</v>
      </c>
      <c r="C136" s="6" t="s">
        <v>68</v>
      </c>
      <c r="D136" s="6" t="s">
        <v>11</v>
      </c>
      <c r="E136" s="6" t="s">
        <v>75</v>
      </c>
      <c r="F136" s="7"/>
    </row>
    <row r="137" customFormat="false" ht="15" hidden="false" customHeight="false" outlineLevel="0" collapsed="false">
      <c r="A137" s="5" t="n">
        <v>46321</v>
      </c>
      <c r="B137" s="6" t="s">
        <v>65</v>
      </c>
      <c r="C137" s="6" t="s">
        <v>68</v>
      </c>
      <c r="D137" s="6" t="s">
        <v>11</v>
      </c>
      <c r="E137" s="6" t="s">
        <v>75</v>
      </c>
      <c r="F137" s="7"/>
    </row>
    <row r="138" customFormat="false" ht="15" hidden="false" customHeight="false" outlineLevel="0" collapsed="false">
      <c r="A138" s="5" t="n">
        <v>46321</v>
      </c>
      <c r="B138" s="6" t="s">
        <v>66</v>
      </c>
      <c r="C138" s="6" t="s">
        <v>68</v>
      </c>
      <c r="D138" s="6" t="s">
        <v>11</v>
      </c>
      <c r="E138" s="6" t="s">
        <v>75</v>
      </c>
      <c r="F138" s="7"/>
    </row>
    <row r="139" customFormat="false" ht="15" hidden="false" customHeight="false" outlineLevel="0" collapsed="false">
      <c r="A139" s="5" t="n">
        <v>46321</v>
      </c>
      <c r="B139" s="6" t="s">
        <v>74</v>
      </c>
      <c r="C139" s="6" t="s">
        <v>68</v>
      </c>
      <c r="D139" s="6" t="s">
        <v>11</v>
      </c>
      <c r="E139" s="6" t="s">
        <v>75</v>
      </c>
      <c r="F139" s="7"/>
    </row>
    <row r="140" customFormat="false" ht="15" hidden="false" customHeight="false" outlineLevel="0" collapsed="false">
      <c r="A140" s="5" t="n">
        <v>46321</v>
      </c>
      <c r="B140" s="6" t="s">
        <v>69</v>
      </c>
      <c r="C140" s="6" t="s">
        <v>70</v>
      </c>
      <c r="D140" s="6" t="s">
        <v>11</v>
      </c>
      <c r="E140" s="6" t="s">
        <v>75</v>
      </c>
      <c r="F140" s="7"/>
    </row>
    <row r="141" customFormat="false" ht="15" hidden="false" customHeight="false" outlineLevel="0" collapsed="false">
      <c r="A141" s="5" t="n">
        <v>46321</v>
      </c>
      <c r="B141" s="6" t="s">
        <v>71</v>
      </c>
      <c r="C141" s="6" t="s">
        <v>70</v>
      </c>
      <c r="D141" s="6" t="s">
        <v>11</v>
      </c>
      <c r="E141" s="6" t="s">
        <v>75</v>
      </c>
      <c r="F141" s="7"/>
    </row>
  </sheetData>
  <mergeCells count="3">
    <mergeCell ref="A1:F1"/>
    <mergeCell ref="A2:F2"/>
    <mergeCell ref="A3:F3"/>
  </mergeCells>
  <conditionalFormatting sqref="A6:F20000">
    <cfRule type="expression" priority="2" aboveAverage="0" equalAverage="0" bottom="0" percent="0" rank="0" text="" dxfId="0">
      <formula>$D6="Fail"</formula>
    </cfRule>
  </conditionalFormatting>
  <dataValidations count="4">
    <dataValidation allowBlank="false" error="Enter the date the inspection was done." errorStyle="stop" errorTitle="Date" operator="between" showDropDown="false" showErrorMessage="true" showInputMessage="false" sqref="A6:A1141" type="date">
      <formula1>DATE(2024,1,1)</formula1>
      <formula2>DATE(2099,12,31)</formula2>
    </dataValidation>
    <dataValidation allowBlank="false" error="Pick a device ID from the list." errorStyle="stop" operator="between" showDropDown="false" showErrorMessage="true" showInputMessage="false" sqref="B6:B1141" type="list">
      <formula1>Lists!$A$2:$A$52</formula1>
      <formula2>0</formula2>
    </dataValidation>
    <dataValidation allowBlank="false" error="Pick a check from the list." errorStyle="stop" operator="between" showDropDown="false" showErrorMessage="true" showInputMessage="false" sqref="C6:C1141" type="list">
      <formula1>Lists!$B$2:$B$11</formula1>
      <formula2>0</formula2>
    </dataValidation>
    <dataValidation allowBlank="false" error="Pass or Fail." errorStyle="stop" operator="between" showDropDown="false" showErrorMessage="true" showInputMessage="false" sqref="D6:D1141" type="list">
      <formula1>"Pass,Fail"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8" width="40"/>
    <col collapsed="false" customWidth="true" hidden="false" outlineLevel="0" max="2" min="2" style="8" width="30"/>
    <col collapsed="false" customWidth="true" hidden="false" outlineLevel="0" max="4" min="3" style="8" width="12"/>
    <col collapsed="false" customWidth="true" hidden="false" outlineLevel="0" max="5" min="5" style="8" width="62"/>
  </cols>
  <sheetData>
    <row r="1" customFormat="false" ht="18" hidden="false" customHeight="true" outlineLevel="0" collapsed="false">
      <c r="A1" s="9" t="s">
        <v>76</v>
      </c>
    </row>
    <row r="2" customFormat="false" ht="14.25" hidden="false" customHeight="true" outlineLevel="0" collapsed="false">
      <c r="A2" s="10" t="s">
        <v>77</v>
      </c>
    </row>
    <row r="3" customFormat="false" ht="14.25" hidden="false" customHeight="true" outlineLevel="0" collapsed="false">
      <c r="A3" s="11" t="s">
        <v>78</v>
      </c>
    </row>
    <row r="4" customFormat="false" ht="14.25" hidden="false" customHeight="true" outlineLevel="0" collapsed="false">
      <c r="A4" s="12" t="s">
        <v>79</v>
      </c>
      <c r="B4" s="12" t="s">
        <v>5</v>
      </c>
      <c r="C4" s="12" t="s">
        <v>80</v>
      </c>
      <c r="D4" s="12" t="s">
        <v>81</v>
      </c>
      <c r="E4" s="12" t="s">
        <v>82</v>
      </c>
    </row>
    <row r="5" customFormat="false" ht="14.25" hidden="false" customHeight="true" outlineLevel="0" collapsed="false">
      <c r="A5" s="13" t="s">
        <v>83</v>
      </c>
      <c r="B5" s="13" t="s">
        <v>84</v>
      </c>
      <c r="C5" s="14" t="n">
        <v>30</v>
      </c>
      <c r="D5" s="13" t="s">
        <v>85</v>
      </c>
      <c r="E5" s="13" t="s">
        <v>86</v>
      </c>
    </row>
    <row r="6" customFormat="false" ht="14.25" hidden="false" customHeight="true" outlineLevel="0" collapsed="false">
      <c r="A6" s="13" t="s">
        <v>83</v>
      </c>
      <c r="B6" s="13" t="s">
        <v>87</v>
      </c>
      <c r="C6" s="14" t="n">
        <v>12</v>
      </c>
      <c r="D6" s="13" t="s">
        <v>88</v>
      </c>
      <c r="E6" s="13" t="s">
        <v>89</v>
      </c>
    </row>
    <row r="7" customFormat="false" ht="14.25" hidden="false" customHeight="true" outlineLevel="0" collapsed="false">
      <c r="A7" s="13" t="s">
        <v>90</v>
      </c>
      <c r="B7" s="13" t="s">
        <v>91</v>
      </c>
      <c r="C7" s="14" t="n">
        <v>30</v>
      </c>
      <c r="D7" s="13" t="s">
        <v>85</v>
      </c>
      <c r="E7" s="13" t="s">
        <v>92</v>
      </c>
    </row>
    <row r="8" customFormat="false" ht="14.25" hidden="false" customHeight="true" outlineLevel="0" collapsed="false">
      <c r="A8" s="13" t="s">
        <v>90</v>
      </c>
      <c r="B8" s="13" t="s">
        <v>93</v>
      </c>
      <c r="C8" s="14" t="n">
        <v>12</v>
      </c>
      <c r="D8" s="13" t="s">
        <v>88</v>
      </c>
      <c r="E8" s="13" t="s">
        <v>94</v>
      </c>
    </row>
    <row r="9" customFormat="false" ht="14.25" hidden="false" customHeight="true" outlineLevel="0" collapsed="false">
      <c r="A9" s="13" t="s">
        <v>95</v>
      </c>
      <c r="B9" s="13" t="s">
        <v>96</v>
      </c>
      <c r="C9" s="14" t="n">
        <v>7</v>
      </c>
      <c r="D9" s="13" t="s">
        <v>85</v>
      </c>
      <c r="E9" s="13" t="s">
        <v>97</v>
      </c>
    </row>
    <row r="10" customFormat="false" ht="14.25" hidden="false" customHeight="true" outlineLevel="0" collapsed="false">
      <c r="A10" s="13" t="s">
        <v>95</v>
      </c>
      <c r="B10" s="13" t="s">
        <v>98</v>
      </c>
      <c r="C10" s="14" t="n">
        <v>12</v>
      </c>
      <c r="D10" s="13" t="s">
        <v>88</v>
      </c>
      <c r="E10" s="13" t="s">
        <v>99</v>
      </c>
    </row>
    <row r="12" customFormat="false" ht="14.25" hidden="false" customHeight="true" outlineLevel="0" collapsed="false">
      <c r="A12" s="11" t="s">
        <v>100</v>
      </c>
    </row>
    <row r="13" customFormat="false" ht="26.25" hidden="false" customHeight="true" outlineLevel="0" collapsed="false">
      <c r="A13" s="15" t="s">
        <v>101</v>
      </c>
      <c r="B13" s="15" t="s">
        <v>102</v>
      </c>
      <c r="C13" s="15" t="s">
        <v>103</v>
      </c>
      <c r="D13" s="15" t="s">
        <v>82</v>
      </c>
    </row>
    <row r="14" customFormat="false" ht="14.25" hidden="false" customHeight="true" outlineLevel="0" collapsed="false">
      <c r="A14" s="13" t="s">
        <v>104</v>
      </c>
      <c r="B14" s="14" t="n">
        <v>6</v>
      </c>
      <c r="C14" s="14" t="n">
        <v>12</v>
      </c>
      <c r="D14" s="13" t="s">
        <v>105</v>
      </c>
    </row>
    <row r="15" customFormat="false" ht="14.25" hidden="false" customHeight="true" outlineLevel="0" collapsed="false">
      <c r="A15" s="13" t="s">
        <v>106</v>
      </c>
      <c r="B15" s="14" t="n">
        <v>5</v>
      </c>
      <c r="C15" s="14" t="n">
        <v>5</v>
      </c>
      <c r="D15" s="13" t="s">
        <v>107</v>
      </c>
    </row>
    <row r="16" customFormat="false" ht="14.25" hidden="false" customHeight="true" outlineLevel="0" collapsed="false">
      <c r="A16" s="13" t="s">
        <v>108</v>
      </c>
      <c r="B16" s="14" t="n">
        <v>5</v>
      </c>
      <c r="C16" s="14" t="n">
        <v>5</v>
      </c>
      <c r="D16" s="13" t="s">
        <v>109</v>
      </c>
    </row>
    <row r="17" customFormat="false" ht="14.25" hidden="false" customHeight="true" outlineLevel="0" collapsed="false">
      <c r="A17" s="13" t="s">
        <v>110</v>
      </c>
      <c r="B17" s="14" t="n">
        <v>5</v>
      </c>
      <c r="C17" s="14" t="n">
        <v>5</v>
      </c>
      <c r="D17" s="13" t="s">
        <v>111</v>
      </c>
    </row>
    <row r="18" customFormat="false" ht="14.25" hidden="false" customHeight="true" outlineLevel="0" collapsed="false">
      <c r="A18" s="13" t="s">
        <v>112</v>
      </c>
      <c r="B18" s="14" t="n">
        <v>5</v>
      </c>
      <c r="C18" s="14" t="n">
        <v>5</v>
      </c>
      <c r="D18" s="13" t="s">
        <v>113</v>
      </c>
    </row>
    <row r="20" customFormat="false" ht="14.25" hidden="false" customHeight="true" outlineLevel="0" collapsed="false">
      <c r="A20" s="11" t="s">
        <v>114</v>
      </c>
    </row>
    <row r="21" customFormat="false" ht="14.25" hidden="false" customHeight="true" outlineLevel="0" collapsed="false">
      <c r="A21" s="15" t="s">
        <v>115</v>
      </c>
      <c r="B21" s="15" t="s">
        <v>116</v>
      </c>
      <c r="C21" s="15" t="s">
        <v>117</v>
      </c>
    </row>
    <row r="22" customFormat="false" ht="14.25" hidden="false" customHeight="true" outlineLevel="0" collapsed="false">
      <c r="A22" s="13" t="s">
        <v>118</v>
      </c>
      <c r="B22" s="14" t="n">
        <v>0</v>
      </c>
      <c r="C22" s="13" t="s">
        <v>119</v>
      </c>
    </row>
    <row r="23" customFormat="false" ht="14.25" hidden="false" customHeight="true" outlineLevel="0" collapsed="false">
      <c r="A23" s="13" t="s">
        <v>120</v>
      </c>
      <c r="B23" s="14" t="n">
        <v>12</v>
      </c>
      <c r="C23" s="13" t="s">
        <v>121</v>
      </c>
    </row>
    <row r="24" customFormat="false" ht="14.25" hidden="false" customHeight="true" outlineLevel="0" collapsed="false">
      <c r="A24" s="16" t="s">
        <v>122</v>
      </c>
      <c r="B24" s="6" t="n">
        <v>0</v>
      </c>
      <c r="C24" s="16" t="s">
        <v>123</v>
      </c>
    </row>
    <row r="25" customFormat="false" ht="14.25" hidden="false" customHeight="true" outlineLevel="0" collapsed="false">
      <c r="A25" s="11" t="s">
        <v>124</v>
      </c>
    </row>
    <row r="26" customFormat="false" ht="14.25" hidden="false" customHeight="true" outlineLevel="0" collapsed="false">
      <c r="A26" s="16" t="s">
        <v>125</v>
      </c>
      <c r="C26" s="14" t="n">
        <v>7</v>
      </c>
    </row>
    <row r="27" customFormat="false" ht="14.25" hidden="false" customHeight="true" outlineLevel="0" collapsed="false">
      <c r="A27" s="16" t="s">
        <v>126</v>
      </c>
      <c r="C27" s="14" t="n">
        <v>2</v>
      </c>
    </row>
    <row r="28" customFormat="false" ht="14.25" hidden="false" customHeight="true" outlineLevel="0" collapsed="false">
      <c r="A28" s="17" t="s">
        <v>127</v>
      </c>
    </row>
    <row r="30" customFormat="false" ht="14.25" hidden="false" customHeight="true" outlineLevel="0" collapsed="false">
      <c r="A30" s="17" t="s">
        <v>128</v>
      </c>
    </row>
    <row r="32" customFormat="false" ht="14.25" hidden="false" customHeight="true" outlineLevel="0" collapsed="false">
      <c r="A32" s="11" t="s">
        <v>129</v>
      </c>
    </row>
    <row r="33" customFormat="false" ht="14.25" hidden="false" customHeight="true" outlineLevel="0" collapsed="false">
      <c r="A33" s="18" t="s">
        <v>79</v>
      </c>
      <c r="B33" s="18" t="s">
        <v>5</v>
      </c>
      <c r="C33" s="18" t="s">
        <v>80</v>
      </c>
      <c r="D33" s="18" t="s">
        <v>81</v>
      </c>
      <c r="E33" s="18" t="s">
        <v>82</v>
      </c>
    </row>
    <row r="34" customFormat="false" ht="14.25" hidden="false" customHeight="true" outlineLevel="0" collapsed="false">
      <c r="A34" s="16" t="s">
        <v>130</v>
      </c>
      <c r="B34" s="16" t="s">
        <v>131</v>
      </c>
      <c r="C34" s="6" t="n">
        <v>30</v>
      </c>
      <c r="D34" s="16" t="s">
        <v>85</v>
      </c>
      <c r="E34" s="16" t="s">
        <v>132</v>
      </c>
    </row>
    <row r="35" customFormat="false" ht="14.25" hidden="false" customHeight="true" outlineLevel="0" collapsed="false">
      <c r="A35" s="16" t="s">
        <v>130</v>
      </c>
      <c r="B35" s="16" t="s">
        <v>133</v>
      </c>
      <c r="C35" s="6" t="n">
        <v>60</v>
      </c>
      <c r="D35" s="16" t="s">
        <v>88</v>
      </c>
      <c r="E35" s="16" t="s">
        <v>134</v>
      </c>
    </row>
    <row r="36" customFormat="false" ht="14.25" hidden="false" customHeight="true" outlineLevel="0" collapsed="false">
      <c r="A36" s="16" t="s">
        <v>130</v>
      </c>
      <c r="B36" s="16" t="s">
        <v>135</v>
      </c>
      <c r="C36" s="6" t="n">
        <v>60</v>
      </c>
      <c r="D36" s="16" t="s">
        <v>88</v>
      </c>
      <c r="E36" s="16" t="s">
        <v>136</v>
      </c>
    </row>
    <row r="38" customFormat="false" ht="14.25" hidden="false" customHeight="true" outlineLevel="0" collapsed="false">
      <c r="A38" s="16" t="s">
        <v>137</v>
      </c>
      <c r="C38" s="6" t="n">
        <v>60</v>
      </c>
    </row>
    <row r="39" customFormat="false" ht="14.25" hidden="false" customHeight="true" outlineLevel="0" collapsed="false">
      <c r="A39" s="10" t="s">
        <v>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D7" activeCellId="0" sqref="D7"/>
    </sheetView>
  </sheetViews>
  <sheetFormatPr defaultColWidth="8.6328125" defaultRowHeight="14.25" zeroHeight="false" outlineLevelRow="0" outlineLevelCol="0"/>
  <cols>
    <col collapsed="false" customWidth="true" hidden="false" outlineLevel="0" max="1" min="1" style="8" width="7"/>
    <col collapsed="false" customWidth="true" hidden="false" outlineLevel="0" max="2" min="2" style="8" width="34"/>
    <col collapsed="false" customWidth="true" hidden="false" outlineLevel="0" max="3" min="3" style="8" width="26"/>
    <col collapsed="false" customWidth="true" hidden="false" outlineLevel="0" max="11" min="4" style="8" width="12"/>
    <col collapsed="false" customWidth="true" hidden="false" outlineLevel="0" max="12" min="12" style="8" width="19"/>
    <col collapsed="false" customWidth="true" hidden="false" outlineLevel="0" max="13" min="13" style="8" width="10"/>
    <col collapsed="false" customWidth="true" hidden="false" outlineLevel="0" max="14" min="14" style="8" width="13"/>
    <col collapsed="false" customWidth="true" hidden="false" outlineLevel="0" max="15" min="15" style="8" width="26"/>
    <col collapsed="false" customWidth="true" hidden="false" outlineLevel="0" max="16" min="16" style="8" width="12"/>
    <col collapsed="false" customWidth="true" hidden="false" outlineLevel="0" max="17" min="17" style="8" width="15"/>
  </cols>
  <sheetData>
    <row r="1" customFormat="false" ht="18" hidden="false" customHeight="true" outlineLevel="0" collapsed="false">
      <c r="A1" s="19" t="s">
        <v>139</v>
      </c>
      <c r="B1" s="19"/>
      <c r="C1" s="19"/>
      <c r="D1" s="19"/>
      <c r="E1" s="19"/>
      <c r="F1" s="19"/>
      <c r="G1" s="19"/>
      <c r="H1" s="19"/>
      <c r="I1" s="19"/>
      <c r="J1" s="19"/>
      <c r="K1" s="19"/>
      <c r="L1" s="19"/>
      <c r="M1" s="19"/>
      <c r="N1" s="19"/>
      <c r="O1" s="19"/>
      <c r="P1" s="19"/>
      <c r="Q1" s="19"/>
    </row>
    <row r="2" customFormat="false" ht="25.5" hidden="false" customHeight="true" outlineLevel="0" collapsed="false">
      <c r="A2" s="20" t="s">
        <v>140</v>
      </c>
      <c r="B2" s="20"/>
      <c r="C2" s="20"/>
      <c r="D2" s="20"/>
      <c r="E2" s="20"/>
      <c r="F2" s="20"/>
      <c r="G2" s="20"/>
      <c r="H2" s="20"/>
      <c r="I2" s="20"/>
      <c r="J2" s="20"/>
      <c r="K2" s="20"/>
      <c r="L2" s="20"/>
      <c r="M2" s="20"/>
      <c r="N2" s="20"/>
      <c r="O2" s="20"/>
      <c r="P2" s="20"/>
      <c r="Q2" s="20"/>
    </row>
    <row r="3" customFormat="false" ht="25.5" hidden="false" customHeight="true" outlineLevel="0" collapsed="false">
      <c r="A3" s="3" t="s">
        <v>141</v>
      </c>
      <c r="B3" s="3"/>
      <c r="C3" s="3"/>
      <c r="D3" s="3"/>
      <c r="E3" s="3"/>
      <c r="F3" s="3"/>
      <c r="G3" s="3"/>
      <c r="H3" s="3"/>
      <c r="I3" s="3"/>
      <c r="J3" s="3"/>
      <c r="K3" s="3"/>
      <c r="L3" s="3"/>
      <c r="M3" s="3"/>
      <c r="N3" s="3"/>
      <c r="O3" s="3"/>
      <c r="P3" s="3"/>
      <c r="Q3" s="3"/>
    </row>
    <row r="5" customFormat="false" ht="33.75" hidden="false" customHeight="true" outlineLevel="0" collapsed="false">
      <c r="A5" s="21" t="s">
        <v>142</v>
      </c>
      <c r="B5" s="21" t="s">
        <v>143</v>
      </c>
      <c r="C5" s="21" t="s">
        <v>144</v>
      </c>
      <c r="D5" s="21" t="s">
        <v>145</v>
      </c>
      <c r="E5" s="21" t="s">
        <v>146</v>
      </c>
      <c r="F5" s="21" t="s">
        <v>147</v>
      </c>
      <c r="G5" s="21" t="s">
        <v>148</v>
      </c>
      <c r="H5" s="21" t="s">
        <v>149</v>
      </c>
      <c r="I5" s="21" t="s">
        <v>150</v>
      </c>
      <c r="J5" s="21" t="s">
        <v>151</v>
      </c>
      <c r="K5" s="21" t="s">
        <v>152</v>
      </c>
      <c r="L5" s="21" t="s">
        <v>153</v>
      </c>
      <c r="M5" s="21" t="s">
        <v>154</v>
      </c>
      <c r="N5" s="21" t="s">
        <v>155</v>
      </c>
      <c r="O5" s="21" t="s">
        <v>8</v>
      </c>
      <c r="P5" s="22" t="s">
        <v>156</v>
      </c>
      <c r="Q5" s="22" t="s">
        <v>157</v>
      </c>
    </row>
    <row r="6" customFormat="false" ht="14.25" hidden="false" customHeight="true" outlineLevel="0" collapsed="false">
      <c r="A6" s="23" t="s">
        <v>35</v>
      </c>
      <c r="B6" s="13" t="s">
        <v>158</v>
      </c>
      <c r="C6" s="24" t="s">
        <v>104</v>
      </c>
      <c r="D6" s="25" t="n">
        <f aca="false">IF(_xlfn.MAXIFS('Inspection History'!$A$6:$A$20000,'Inspection History'!$B$6:$B$20000,$A6,'Inspection History'!$C$6:$C$20000,"Monthly Insp",'Inspection History'!$D$6:$D$20000,"Pass")=0,"",_xlfn.MAXIFS('Inspection History'!$A$6:$A$20000,'Inspection History'!$B$6:$B$20000,$A6,'Inspection History'!$C$6:$C$20000,"Monthly Insp",'Inspection History'!$D$6:$D$20000,"Pass"))</f>
        <v>46321</v>
      </c>
      <c r="E6" s="25" t="n">
        <f aca="false">IF($D6="","",$D6+Intervals!$C$5)</f>
        <v>46351</v>
      </c>
      <c r="F6" s="25" t="n">
        <f aca="false">IF(_xlfn.MAXIFS('Inspection History'!$A$6:$A$20000,'Inspection History'!$B$6:$B$20000,$A6,'Inspection History'!$C$6:$C$20000,"Annual Maint",'Inspection History'!$D$6:$D$20000,"Pass")=0,"",_xlfn.MAXIFS('Inspection History'!$A$6:$A$20000,'Inspection History'!$B$6:$B$20000,$A6,'Inspection History'!$C$6:$C$20000,"Annual Maint",'Inspection History'!$D$6:$D$20000,"Pass"))</f>
        <v>46082</v>
      </c>
      <c r="G6" s="25" t="n">
        <f aca="false">IF($F6="","",EDATE($F6,Intervals!$C$6))</f>
        <v>46447</v>
      </c>
      <c r="H6" s="25" t="str">
        <f aca="false">IF(_xlfn.MAXIFS('Inspection History'!$A$6:$A$20000,'Inspection History'!$B$6:$B$20000,$A6,'Inspection History'!$C$6:$C$20000,"Internal Exam",'Inspection History'!$D$6:$D$20000,"Pass")=0,"",_xlfn.MAXIFS('Inspection History'!$A$6:$A$20000,'Inspection History'!$B$6:$B$20000,$A6,'Inspection History'!$C$6:$C$20000,"Internal Exam",'Inspection History'!$D$6:$D$20000,"Pass"))</f>
        <v/>
      </c>
      <c r="I6" s="25" t="n">
        <f aca="false">IF(OR($C6="",AND($H6="",$P6="")),"",EDATE(IF($H6="",$P6,$H6),12*INDEX(Intervals!$B$14:$B$18,MATCH($C6,Intervals!$A$14:$A$18,0))))</f>
        <v>48214</v>
      </c>
      <c r="J6" s="25" t="str">
        <f aca="false">IF(_xlfn.MAXIFS('Inspection History'!$A$6:$A$20000,'Inspection History'!$B$6:$B$20000,$A6,'Inspection History'!$C$6:$C$20000,"Hydro Test",'Inspection History'!$D$6:$D$20000,"Pass")=0,"",_xlfn.MAXIFS('Inspection History'!$A$6:$A$20000,'Inspection History'!$B$6:$B$20000,$A6,'Inspection History'!$C$6:$C$20000,"Hydro Test",'Inspection History'!$D$6:$D$20000,"Pass"))</f>
        <v/>
      </c>
      <c r="K6" s="25" t="n">
        <f aca="false">IF(OR($C6="",AND($J6="",$P6="")),"",EDATE(IF($J6="",$P6,$J6),12*INDEX(Intervals!$C$14:$C$18,MATCH($C6,Intervals!$A$14:$A$18,0))))</f>
        <v>50406</v>
      </c>
      <c r="L6" s="13" t="str">
        <f aca="false">IF(COUNT($E6,$G6,$I6,$K6)=0,"—",IF(MIN($E6,$G6,$I6,$K6)=$E6,"Monthly inspection",IF(MIN($E6,$G6,$I6,$K6)=$G6,"Annual maintenance",IF(MIN($E6,$G6,$I6,$K6)=$I6,"Internal exam","Hydrostatic test"))))</f>
        <v>Monthly inspection</v>
      </c>
      <c r="M6" s="26" t="n">
        <f aca="true">IF(COUNT($E6,$G6,$I6,$K6)=0,"",MIN($E6,$G6,$I6,$K6)-TODAY())</f>
        <v>30</v>
      </c>
      <c r="N6" s="23" t="str">
        <f aca="false">IF($M6="","NOT LOGGED",IF($M6&lt;=0,"OVERDUE",IF($M6&lt;=Intervals!$C$26,"DUE SOON","OK")))</f>
        <v>OK</v>
      </c>
      <c r="O6" s="24"/>
      <c r="P6" s="5" t="n">
        <v>46023</v>
      </c>
      <c r="Q6" s="27" t="str">
        <f aca="false">IF($D6="","",IF(SUMPRODUCT(MAX(('Inspection History'!$B$6:$B$20000=$A6)*('Inspection History'!$C$6:$C$20000="Monthly Insp")*('Inspection History'!$D$6:$D$20000="Pass")*('Inspection History'!$A$6:$A$20000=$D6)*ROW('Inspection History'!$A$6:$A$20000)))=0,"",INDEX('Inspection History'!$E:$E,SUMPRODUCT(MAX(('Inspection History'!$B$6:$B$20000=$A6)*('Inspection History'!$C$6:$C$20000="Monthly Insp")*('Inspection History'!$D$6:$D$20000="Pass")*('Inspection History'!$A$6:$A$20000=$D6)*ROW('Inspection History'!$A$6:$A$20000))))&amp;""))</f>
        <v>J. Godek</v>
      </c>
    </row>
    <row r="7" customFormat="false" ht="14.25" hidden="false" customHeight="true" outlineLevel="0" collapsed="false">
      <c r="A7" s="23" t="s">
        <v>38</v>
      </c>
      <c r="B7" s="13" t="s">
        <v>159</v>
      </c>
      <c r="C7" s="24" t="s">
        <v>108</v>
      </c>
      <c r="D7" s="25" t="n">
        <f aca="false">IF(_xlfn.MAXIFS('Inspection History'!$A$6:$A$20000,'Inspection History'!$B$6:$B$20000,$A7,'Inspection History'!$C$6:$C$20000,"Monthly Insp",'Inspection History'!$D$6:$D$20000,"Pass")=0,"",_xlfn.MAXIFS('Inspection History'!$A$6:$A$20000,'Inspection History'!$B$6:$B$20000,$A7,'Inspection History'!$C$6:$C$20000,"Monthly Insp",'Inspection History'!$D$6:$D$20000,"Pass"))</f>
        <v>46321</v>
      </c>
      <c r="E7" s="25" t="n">
        <f aca="false">IF($D7="","",$D7+Intervals!$C$5)</f>
        <v>46351</v>
      </c>
      <c r="F7" s="25" t="n">
        <f aca="false">IF(_xlfn.MAXIFS('Inspection History'!$A$6:$A$20000,'Inspection History'!$B$6:$B$20000,$A7,'Inspection History'!$C$6:$C$20000,"Annual Maint",'Inspection History'!$D$6:$D$20000,"Pass")=0,"",_xlfn.MAXIFS('Inspection History'!$A$6:$A$20000,'Inspection History'!$B$6:$B$20000,$A7,'Inspection History'!$C$6:$C$20000,"Annual Maint",'Inspection History'!$D$6:$D$20000,"Pass"))</f>
        <v>46082</v>
      </c>
      <c r="G7" s="25" t="n">
        <f aca="false">IF($F7="","",EDATE($F7,Intervals!$C$6))</f>
        <v>46447</v>
      </c>
      <c r="H7" s="25" t="str">
        <f aca="false">IF(_xlfn.MAXIFS('Inspection History'!$A$6:$A$20000,'Inspection History'!$B$6:$B$20000,$A7,'Inspection History'!$C$6:$C$20000,"Internal Exam",'Inspection History'!$D$6:$D$20000,"Pass")=0,"",_xlfn.MAXIFS('Inspection History'!$A$6:$A$20000,'Inspection History'!$B$6:$B$20000,$A7,'Inspection History'!$C$6:$C$20000,"Internal Exam",'Inspection History'!$D$6:$D$20000,"Pass"))</f>
        <v/>
      </c>
      <c r="I7" s="25" t="n">
        <f aca="false">IF(OR($C7="",AND($H7="",$P7="")),"",EDATE(IF($H7="",$P7,$H7),12*INDEX(Intervals!$B$14:$B$18,MATCH($C7,Intervals!$A$14:$A$18,0))))</f>
        <v>47849</v>
      </c>
      <c r="J7" s="25" t="str">
        <f aca="false">IF(_xlfn.MAXIFS('Inspection History'!$A$6:$A$20000,'Inspection History'!$B$6:$B$20000,$A7,'Inspection History'!$C$6:$C$20000,"Hydro Test",'Inspection History'!$D$6:$D$20000,"Pass")=0,"",_xlfn.MAXIFS('Inspection History'!$A$6:$A$20000,'Inspection History'!$B$6:$B$20000,$A7,'Inspection History'!$C$6:$C$20000,"Hydro Test",'Inspection History'!$D$6:$D$20000,"Pass"))</f>
        <v/>
      </c>
      <c r="K7" s="25" t="n">
        <f aca="false">IF(OR($C7="",AND($J7="",$P7="")),"",EDATE(IF($J7="",$P7,$J7),12*INDEX(Intervals!$C$14:$C$18,MATCH($C7,Intervals!$A$14:$A$18,0))))</f>
        <v>47849</v>
      </c>
      <c r="L7" s="13" t="str">
        <f aca="false">IF(COUNT($E7,$G7,$I7,$K7)=0,"—",IF(MIN($E7,$G7,$I7,$K7)=$E7,"Monthly inspection",IF(MIN($E7,$G7,$I7,$K7)=$G7,"Annual maintenance",IF(MIN($E7,$G7,$I7,$K7)=$I7,"Internal exam","Hydrostatic test"))))</f>
        <v>Monthly inspection</v>
      </c>
      <c r="M7" s="26" t="n">
        <f aca="true">IF(COUNT($E7,$G7,$I7,$K7)=0,"",MIN($E7,$G7,$I7,$K7)-TODAY())</f>
        <v>30</v>
      </c>
      <c r="N7" s="23" t="str">
        <f aca="false">IF($M7="","NOT LOGGED",IF($M7&lt;=0,"OVERDUE",IF($M7&lt;=Intervals!$C$26,"DUE SOON","OK")))</f>
        <v>OK</v>
      </c>
      <c r="O7" s="24"/>
      <c r="P7" s="5" t="n">
        <v>46023</v>
      </c>
      <c r="Q7" s="27" t="str">
        <f aca="false">IF($D7="","",IF(SUMPRODUCT(MAX(('Inspection History'!$B$6:$B$20000=$A7)*('Inspection History'!$C$6:$C$20000="Monthly Insp")*('Inspection History'!$D$6:$D$20000="Pass")*('Inspection History'!$A$6:$A$20000=$D7)*ROW('Inspection History'!$A$6:$A$20000)))=0,"",INDEX('Inspection History'!$E:$E,SUMPRODUCT(MAX(('Inspection History'!$B$6:$B$20000=$A7)*('Inspection History'!$C$6:$C$20000="Monthly Insp")*('Inspection History'!$D$6:$D$20000="Pass")*('Inspection History'!$A$6:$A$20000=$D7)*ROW('Inspection History'!$A$6:$A$20000))))&amp;""))</f>
        <v>J. Godek</v>
      </c>
    </row>
    <row r="8" customFormat="false" ht="14.25" hidden="false" customHeight="true" outlineLevel="0" collapsed="false">
      <c r="A8" s="23" t="s">
        <v>39</v>
      </c>
      <c r="B8" s="13" t="s">
        <v>160</v>
      </c>
      <c r="C8" s="24" t="s">
        <v>104</v>
      </c>
      <c r="D8" s="25" t="n">
        <f aca="false">IF(_xlfn.MAXIFS('Inspection History'!$A$6:$A$20000,'Inspection History'!$B$6:$B$20000,$A8,'Inspection History'!$C$6:$C$20000,"Monthly Insp",'Inspection History'!$D$6:$D$20000,"Pass")=0,"",_xlfn.MAXIFS('Inspection History'!$A$6:$A$20000,'Inspection History'!$B$6:$B$20000,$A8,'Inspection History'!$C$6:$C$20000,"Monthly Insp",'Inspection History'!$D$6:$D$20000,"Pass"))</f>
        <v>46321</v>
      </c>
      <c r="E8" s="25" t="n">
        <f aca="false">IF($D8="","",$D8+Intervals!$C$5)</f>
        <v>46351</v>
      </c>
      <c r="F8" s="25" t="n">
        <f aca="false">IF(_xlfn.MAXIFS('Inspection History'!$A$6:$A$20000,'Inspection History'!$B$6:$B$20000,$A8,'Inspection History'!$C$6:$C$20000,"Annual Maint",'Inspection History'!$D$6:$D$20000,"Pass")=0,"",_xlfn.MAXIFS('Inspection History'!$A$6:$A$20000,'Inspection History'!$B$6:$B$20000,$A8,'Inspection History'!$C$6:$C$20000,"Annual Maint",'Inspection History'!$D$6:$D$20000,"Pass"))</f>
        <v>46082</v>
      </c>
      <c r="G8" s="25" t="n">
        <f aca="false">IF($F8="","",EDATE($F8,Intervals!$C$6))</f>
        <v>46447</v>
      </c>
      <c r="H8" s="25" t="str">
        <f aca="false">IF(_xlfn.MAXIFS('Inspection History'!$A$6:$A$20000,'Inspection History'!$B$6:$B$20000,$A8,'Inspection History'!$C$6:$C$20000,"Internal Exam",'Inspection History'!$D$6:$D$20000,"Pass")=0,"",_xlfn.MAXIFS('Inspection History'!$A$6:$A$20000,'Inspection History'!$B$6:$B$20000,$A8,'Inspection History'!$C$6:$C$20000,"Internal Exam",'Inspection History'!$D$6:$D$20000,"Pass"))</f>
        <v/>
      </c>
      <c r="I8" s="25" t="n">
        <f aca="false">IF(OR($C8="",AND($H8="",$P8="")),"",EDATE(IF($H8="",$P8,$H8),12*INDEX(Intervals!$B$14:$B$18,MATCH($C8,Intervals!$A$14:$A$18,0))))</f>
        <v>48214</v>
      </c>
      <c r="J8" s="25" t="str">
        <f aca="false">IF(_xlfn.MAXIFS('Inspection History'!$A$6:$A$20000,'Inspection History'!$B$6:$B$20000,$A8,'Inspection History'!$C$6:$C$20000,"Hydro Test",'Inspection History'!$D$6:$D$20000,"Pass")=0,"",_xlfn.MAXIFS('Inspection History'!$A$6:$A$20000,'Inspection History'!$B$6:$B$20000,$A8,'Inspection History'!$C$6:$C$20000,"Hydro Test",'Inspection History'!$D$6:$D$20000,"Pass"))</f>
        <v/>
      </c>
      <c r="K8" s="25" t="n">
        <f aca="false">IF(OR($C8="",AND($J8="",$P8="")),"",EDATE(IF($J8="",$P8,$J8),12*INDEX(Intervals!$C$14:$C$18,MATCH($C8,Intervals!$A$14:$A$18,0))))</f>
        <v>50406</v>
      </c>
      <c r="L8" s="13" t="str">
        <f aca="false">IF(COUNT($E8,$G8,$I8,$K8)=0,"—",IF(MIN($E8,$G8,$I8,$K8)=$E8,"Monthly inspection",IF(MIN($E8,$G8,$I8,$K8)=$G8,"Annual maintenance",IF(MIN($E8,$G8,$I8,$K8)=$I8,"Internal exam","Hydrostatic test"))))</f>
        <v>Monthly inspection</v>
      </c>
      <c r="M8" s="26" t="n">
        <f aca="true">IF(COUNT($E8,$G8,$I8,$K8)=0,"",MIN($E8,$G8,$I8,$K8)-TODAY())</f>
        <v>30</v>
      </c>
      <c r="N8" s="23" t="str">
        <f aca="false">IF($M8="","NOT LOGGED",IF($M8&lt;=0,"OVERDUE",IF($M8&lt;=Intervals!$C$26,"DUE SOON","OK")))</f>
        <v>OK</v>
      </c>
      <c r="O8" s="24"/>
      <c r="P8" s="5" t="n">
        <v>46023</v>
      </c>
      <c r="Q8" s="27" t="str">
        <f aca="false">IF($D8="","",IF(SUMPRODUCT(MAX(('Inspection History'!$B$6:$B$20000=$A8)*('Inspection History'!$C$6:$C$20000="Monthly Insp")*('Inspection History'!$D$6:$D$20000="Pass")*('Inspection History'!$A$6:$A$20000=$D8)*ROW('Inspection History'!$A$6:$A$20000)))=0,"",INDEX('Inspection History'!$E:$E,SUMPRODUCT(MAX(('Inspection History'!$B$6:$B$20000=$A8)*('Inspection History'!$C$6:$C$20000="Monthly Insp")*('Inspection History'!$D$6:$D$20000="Pass")*('Inspection History'!$A$6:$A$20000=$D8)*ROW('Inspection History'!$A$6:$A$20000))))&amp;""))</f>
        <v>J. Godek</v>
      </c>
    </row>
    <row r="9" customFormat="false" ht="14.25" hidden="false" customHeight="true" outlineLevel="0" collapsed="false">
      <c r="A9" s="23" t="s">
        <v>40</v>
      </c>
      <c r="B9" s="13" t="s">
        <v>161</v>
      </c>
      <c r="C9" s="24" t="s">
        <v>108</v>
      </c>
      <c r="D9" s="25" t="n">
        <f aca="false">IF(_xlfn.MAXIFS('Inspection History'!$A$6:$A$20000,'Inspection History'!$B$6:$B$20000,$A9,'Inspection History'!$C$6:$C$20000,"Monthly Insp",'Inspection History'!$D$6:$D$20000,"Pass")=0,"",_xlfn.MAXIFS('Inspection History'!$A$6:$A$20000,'Inspection History'!$B$6:$B$20000,$A9,'Inspection History'!$C$6:$C$20000,"Monthly Insp",'Inspection History'!$D$6:$D$20000,"Pass"))</f>
        <v>46321</v>
      </c>
      <c r="E9" s="25" t="n">
        <f aca="false">IF($D9="","",$D9+Intervals!$C$5)</f>
        <v>46351</v>
      </c>
      <c r="F9" s="25" t="n">
        <f aca="false">IF(_xlfn.MAXIFS('Inspection History'!$A$6:$A$20000,'Inspection History'!$B$6:$B$20000,$A9,'Inspection History'!$C$6:$C$20000,"Annual Maint",'Inspection History'!$D$6:$D$20000,"Pass")=0,"",_xlfn.MAXIFS('Inspection History'!$A$6:$A$20000,'Inspection History'!$B$6:$B$20000,$A9,'Inspection History'!$C$6:$C$20000,"Annual Maint",'Inspection History'!$D$6:$D$20000,"Pass"))</f>
        <v>46082</v>
      </c>
      <c r="G9" s="25" t="n">
        <f aca="false">IF($F9="","",EDATE($F9,Intervals!$C$6))</f>
        <v>46447</v>
      </c>
      <c r="H9" s="25" t="str">
        <f aca="false">IF(_xlfn.MAXIFS('Inspection History'!$A$6:$A$20000,'Inspection History'!$B$6:$B$20000,$A9,'Inspection History'!$C$6:$C$20000,"Internal Exam",'Inspection History'!$D$6:$D$20000,"Pass")=0,"",_xlfn.MAXIFS('Inspection History'!$A$6:$A$20000,'Inspection History'!$B$6:$B$20000,$A9,'Inspection History'!$C$6:$C$20000,"Internal Exam",'Inspection History'!$D$6:$D$20000,"Pass"))</f>
        <v/>
      </c>
      <c r="I9" s="25" t="n">
        <f aca="false">IF(OR($C9="",AND($H9="",$P9="")),"",EDATE(IF($H9="",$P9,$H9),12*INDEX(Intervals!$B$14:$B$18,MATCH($C9,Intervals!$A$14:$A$18,0))))</f>
        <v>47849</v>
      </c>
      <c r="J9" s="25" t="str">
        <f aca="false">IF(_xlfn.MAXIFS('Inspection History'!$A$6:$A$20000,'Inspection History'!$B$6:$B$20000,$A9,'Inspection History'!$C$6:$C$20000,"Hydro Test",'Inspection History'!$D$6:$D$20000,"Pass")=0,"",_xlfn.MAXIFS('Inspection History'!$A$6:$A$20000,'Inspection History'!$B$6:$B$20000,$A9,'Inspection History'!$C$6:$C$20000,"Hydro Test",'Inspection History'!$D$6:$D$20000,"Pass"))</f>
        <v/>
      </c>
      <c r="K9" s="25" t="n">
        <f aca="false">IF(OR($C9="",AND($J9="",$P9="")),"",EDATE(IF($J9="",$P9,$J9),12*INDEX(Intervals!$C$14:$C$18,MATCH($C9,Intervals!$A$14:$A$18,0))))</f>
        <v>47849</v>
      </c>
      <c r="L9" s="13" t="str">
        <f aca="false">IF(COUNT($E9,$G9,$I9,$K9)=0,"—",IF(MIN($E9,$G9,$I9,$K9)=$E9,"Monthly inspection",IF(MIN($E9,$G9,$I9,$K9)=$G9,"Annual maintenance",IF(MIN($E9,$G9,$I9,$K9)=$I9,"Internal exam","Hydrostatic test"))))</f>
        <v>Monthly inspection</v>
      </c>
      <c r="M9" s="26" t="n">
        <f aca="true">IF(COUNT($E9,$G9,$I9,$K9)=0,"",MIN($E9,$G9,$I9,$K9)-TODAY())</f>
        <v>30</v>
      </c>
      <c r="N9" s="23" t="str">
        <f aca="false">IF($M9="","NOT LOGGED",IF($M9&lt;=0,"OVERDUE",IF($M9&lt;=Intervals!$C$26,"DUE SOON","OK")))</f>
        <v>OK</v>
      </c>
      <c r="O9" s="24"/>
      <c r="P9" s="5" t="n">
        <v>46023</v>
      </c>
      <c r="Q9" s="27" t="str">
        <f aca="false">IF($D9="","",IF(SUMPRODUCT(MAX(('Inspection History'!$B$6:$B$20000=$A9)*('Inspection History'!$C$6:$C$20000="Monthly Insp")*('Inspection History'!$D$6:$D$20000="Pass")*('Inspection History'!$A$6:$A$20000=$D9)*ROW('Inspection History'!$A$6:$A$20000)))=0,"",INDEX('Inspection History'!$E:$E,SUMPRODUCT(MAX(('Inspection History'!$B$6:$B$20000=$A9)*('Inspection History'!$C$6:$C$20000="Monthly Insp")*('Inspection History'!$D$6:$D$20000="Pass")*('Inspection History'!$A$6:$A$20000=$D9)*ROW('Inspection History'!$A$6:$A$20000))))&amp;""))</f>
        <v>J. Godek</v>
      </c>
    </row>
    <row r="10" customFormat="false" ht="14.25" hidden="false" customHeight="true" outlineLevel="0" collapsed="false">
      <c r="A10" s="23" t="s">
        <v>41</v>
      </c>
      <c r="B10" s="13" t="s">
        <v>162</v>
      </c>
      <c r="C10" s="24" t="s">
        <v>108</v>
      </c>
      <c r="D10" s="25" t="n">
        <f aca="false">IF(_xlfn.MAXIFS('Inspection History'!$A$6:$A$20000,'Inspection History'!$B$6:$B$20000,$A10,'Inspection History'!$C$6:$C$20000,"Monthly Insp",'Inspection History'!$D$6:$D$20000,"Pass")=0,"",_xlfn.MAXIFS('Inspection History'!$A$6:$A$20000,'Inspection History'!$B$6:$B$20000,$A10,'Inspection History'!$C$6:$C$20000,"Monthly Insp",'Inspection History'!$D$6:$D$20000,"Pass"))</f>
        <v>46321</v>
      </c>
      <c r="E10" s="25" t="n">
        <f aca="false">IF($D10="","",$D10+Intervals!$C$5)</f>
        <v>46351</v>
      </c>
      <c r="F10" s="25" t="n">
        <f aca="false">IF(_xlfn.MAXIFS('Inspection History'!$A$6:$A$20000,'Inspection History'!$B$6:$B$20000,$A10,'Inspection History'!$C$6:$C$20000,"Annual Maint",'Inspection History'!$D$6:$D$20000,"Pass")=0,"",_xlfn.MAXIFS('Inspection History'!$A$6:$A$20000,'Inspection History'!$B$6:$B$20000,$A10,'Inspection History'!$C$6:$C$20000,"Annual Maint",'Inspection History'!$D$6:$D$20000,"Pass"))</f>
        <v>46082</v>
      </c>
      <c r="G10" s="25" t="n">
        <f aca="false">IF($F10="","",EDATE($F10,Intervals!$C$6))</f>
        <v>46447</v>
      </c>
      <c r="H10" s="25" t="str">
        <f aca="false">IF(_xlfn.MAXIFS('Inspection History'!$A$6:$A$20000,'Inspection History'!$B$6:$B$20000,$A10,'Inspection History'!$C$6:$C$20000,"Internal Exam",'Inspection History'!$D$6:$D$20000,"Pass")=0,"",_xlfn.MAXIFS('Inspection History'!$A$6:$A$20000,'Inspection History'!$B$6:$B$20000,$A10,'Inspection History'!$C$6:$C$20000,"Internal Exam",'Inspection History'!$D$6:$D$20000,"Pass"))</f>
        <v/>
      </c>
      <c r="I10" s="25" t="n">
        <f aca="false">IF(OR($C10="",AND($H10="",$P10="")),"",EDATE(IF($H10="",$P10,$H10),12*INDEX(Intervals!$B$14:$B$18,MATCH($C10,Intervals!$A$14:$A$18,0))))</f>
        <v>47849</v>
      </c>
      <c r="J10" s="25" t="str">
        <f aca="false">IF(_xlfn.MAXIFS('Inspection History'!$A$6:$A$20000,'Inspection History'!$B$6:$B$20000,$A10,'Inspection History'!$C$6:$C$20000,"Hydro Test",'Inspection History'!$D$6:$D$20000,"Pass")=0,"",_xlfn.MAXIFS('Inspection History'!$A$6:$A$20000,'Inspection History'!$B$6:$B$20000,$A10,'Inspection History'!$C$6:$C$20000,"Hydro Test",'Inspection History'!$D$6:$D$20000,"Pass"))</f>
        <v/>
      </c>
      <c r="K10" s="25" t="n">
        <f aca="false">IF(OR($C10="",AND($J10="",$P10="")),"",EDATE(IF($J10="",$P10,$J10),12*INDEX(Intervals!$C$14:$C$18,MATCH($C10,Intervals!$A$14:$A$18,0))))</f>
        <v>47849</v>
      </c>
      <c r="L10" s="13" t="str">
        <f aca="false">IF(COUNT($E10,$G10,$I10,$K10)=0,"—",IF(MIN($E10,$G10,$I10,$K10)=$E10,"Monthly inspection",IF(MIN($E10,$G10,$I10,$K10)=$G10,"Annual maintenance",IF(MIN($E10,$G10,$I10,$K10)=$I10,"Internal exam","Hydrostatic test"))))</f>
        <v>Monthly inspection</v>
      </c>
      <c r="M10" s="26" t="n">
        <f aca="true">IF(COUNT($E10,$G10,$I10,$K10)=0,"",MIN($E10,$G10,$I10,$K10)-TODAY())</f>
        <v>30</v>
      </c>
      <c r="N10" s="23" t="str">
        <f aca="false">IF($M10="","NOT LOGGED",IF($M10&lt;=0,"OVERDUE",IF($M10&lt;=Intervals!$C$26,"DUE SOON","OK")))</f>
        <v>OK</v>
      </c>
      <c r="O10" s="24"/>
      <c r="P10" s="5" t="n">
        <v>46023</v>
      </c>
      <c r="Q10" s="27" t="str">
        <f aca="false">IF($D10="","",IF(SUMPRODUCT(MAX(('Inspection History'!$B$6:$B$20000=$A10)*('Inspection History'!$C$6:$C$20000="Monthly Insp")*('Inspection History'!$D$6:$D$20000="Pass")*('Inspection History'!$A$6:$A$20000=$D10)*ROW('Inspection History'!$A$6:$A$20000)))=0,"",INDEX('Inspection History'!$E:$E,SUMPRODUCT(MAX(('Inspection History'!$B$6:$B$20000=$A10)*('Inspection History'!$C$6:$C$20000="Monthly Insp")*('Inspection History'!$D$6:$D$20000="Pass")*('Inspection History'!$A$6:$A$20000=$D10)*ROW('Inspection History'!$A$6:$A$20000))))&amp;""))</f>
        <v>J. Godek</v>
      </c>
    </row>
    <row r="11" customFormat="false" ht="14.25" hidden="false" customHeight="true" outlineLevel="0" collapsed="false">
      <c r="A11" s="23" t="s">
        <v>42</v>
      </c>
      <c r="B11" s="13" t="s">
        <v>163</v>
      </c>
      <c r="C11" s="24" t="s">
        <v>108</v>
      </c>
      <c r="D11" s="25" t="n">
        <f aca="false">IF(_xlfn.MAXIFS('Inspection History'!$A$6:$A$20000,'Inspection History'!$B$6:$B$20000,$A11,'Inspection History'!$C$6:$C$20000,"Monthly Insp",'Inspection History'!$D$6:$D$20000,"Pass")=0,"",_xlfn.MAXIFS('Inspection History'!$A$6:$A$20000,'Inspection History'!$B$6:$B$20000,$A11,'Inspection History'!$C$6:$C$20000,"Monthly Insp",'Inspection History'!$D$6:$D$20000,"Pass"))</f>
        <v>46321</v>
      </c>
      <c r="E11" s="25" t="n">
        <f aca="false">IF($D11="","",$D11+Intervals!$C$5)</f>
        <v>46351</v>
      </c>
      <c r="F11" s="25" t="n">
        <f aca="false">IF(_xlfn.MAXIFS('Inspection History'!$A$6:$A$20000,'Inspection History'!$B$6:$B$20000,$A11,'Inspection History'!$C$6:$C$20000,"Annual Maint",'Inspection History'!$D$6:$D$20000,"Pass")=0,"",_xlfn.MAXIFS('Inspection History'!$A$6:$A$20000,'Inspection History'!$B$6:$B$20000,$A11,'Inspection History'!$C$6:$C$20000,"Annual Maint",'Inspection History'!$D$6:$D$20000,"Pass"))</f>
        <v>46082</v>
      </c>
      <c r="G11" s="25" t="n">
        <f aca="false">IF($F11="","",EDATE($F11,Intervals!$C$6))</f>
        <v>46447</v>
      </c>
      <c r="H11" s="25" t="str">
        <f aca="false">IF(_xlfn.MAXIFS('Inspection History'!$A$6:$A$20000,'Inspection History'!$B$6:$B$20000,$A11,'Inspection History'!$C$6:$C$20000,"Internal Exam",'Inspection History'!$D$6:$D$20000,"Pass")=0,"",_xlfn.MAXIFS('Inspection History'!$A$6:$A$20000,'Inspection History'!$B$6:$B$20000,$A11,'Inspection History'!$C$6:$C$20000,"Internal Exam",'Inspection History'!$D$6:$D$20000,"Pass"))</f>
        <v/>
      </c>
      <c r="I11" s="25" t="n">
        <f aca="false">IF(OR($C11="",AND($H11="",$P11="")),"",EDATE(IF($H11="",$P11,$H11),12*INDEX(Intervals!$B$14:$B$18,MATCH($C11,Intervals!$A$14:$A$18,0))))</f>
        <v>47849</v>
      </c>
      <c r="J11" s="25" t="str">
        <f aca="false">IF(_xlfn.MAXIFS('Inspection History'!$A$6:$A$20000,'Inspection History'!$B$6:$B$20000,$A11,'Inspection History'!$C$6:$C$20000,"Hydro Test",'Inspection History'!$D$6:$D$20000,"Pass")=0,"",_xlfn.MAXIFS('Inspection History'!$A$6:$A$20000,'Inspection History'!$B$6:$B$20000,$A11,'Inspection History'!$C$6:$C$20000,"Hydro Test",'Inspection History'!$D$6:$D$20000,"Pass"))</f>
        <v/>
      </c>
      <c r="K11" s="25" t="n">
        <f aca="false">IF(OR($C11="",AND($J11="",$P11="")),"",EDATE(IF($J11="",$P11,$J11),12*INDEX(Intervals!$C$14:$C$18,MATCH($C11,Intervals!$A$14:$A$18,0))))</f>
        <v>47849</v>
      </c>
      <c r="L11" s="13" t="str">
        <f aca="false">IF(COUNT($E11,$G11,$I11,$K11)=0,"—",IF(MIN($E11,$G11,$I11,$K11)=$E11,"Monthly inspection",IF(MIN($E11,$G11,$I11,$K11)=$G11,"Annual maintenance",IF(MIN($E11,$G11,$I11,$K11)=$I11,"Internal exam","Hydrostatic test"))))</f>
        <v>Monthly inspection</v>
      </c>
      <c r="M11" s="26" t="n">
        <f aca="true">IF(COUNT($E11,$G11,$I11,$K11)=0,"",MIN($E11,$G11,$I11,$K11)-TODAY())</f>
        <v>30</v>
      </c>
      <c r="N11" s="23" t="str">
        <f aca="false">IF($M11="","NOT LOGGED",IF($M11&lt;=0,"OVERDUE",IF($M11&lt;=Intervals!$C$26,"DUE SOON","OK")))</f>
        <v>OK</v>
      </c>
      <c r="O11" s="24"/>
      <c r="P11" s="5" t="n">
        <v>46023</v>
      </c>
      <c r="Q11" s="27" t="str">
        <f aca="false">IF($D11="","",IF(SUMPRODUCT(MAX(('Inspection History'!$B$6:$B$20000=$A11)*('Inspection History'!$C$6:$C$20000="Monthly Insp")*('Inspection History'!$D$6:$D$20000="Pass")*('Inspection History'!$A$6:$A$20000=$D11)*ROW('Inspection History'!$A$6:$A$20000)))=0,"",INDEX('Inspection History'!$E:$E,SUMPRODUCT(MAX(('Inspection History'!$B$6:$B$20000=$A11)*('Inspection History'!$C$6:$C$20000="Monthly Insp")*('Inspection History'!$D$6:$D$20000="Pass")*('Inspection History'!$A$6:$A$20000=$D11)*ROW('Inspection History'!$A$6:$A$20000))))&amp;""))</f>
        <v>J. Godek</v>
      </c>
    </row>
    <row r="12" customFormat="false" ht="14.25" hidden="false" customHeight="true" outlineLevel="0" collapsed="false">
      <c r="A12" s="23" t="s">
        <v>43</v>
      </c>
      <c r="B12" s="13" t="s">
        <v>164</v>
      </c>
      <c r="C12" s="24" t="s">
        <v>108</v>
      </c>
      <c r="D12" s="25" t="n">
        <f aca="false">IF(_xlfn.MAXIFS('Inspection History'!$A$6:$A$20000,'Inspection History'!$B$6:$B$20000,$A12,'Inspection History'!$C$6:$C$20000,"Monthly Insp",'Inspection History'!$D$6:$D$20000,"Pass")=0,"",_xlfn.MAXIFS('Inspection History'!$A$6:$A$20000,'Inspection History'!$B$6:$B$20000,$A12,'Inspection History'!$C$6:$C$20000,"Monthly Insp",'Inspection History'!$D$6:$D$20000,"Pass"))</f>
        <v>46321</v>
      </c>
      <c r="E12" s="25" t="n">
        <f aca="false">IF($D12="","",$D12+Intervals!$C$5)</f>
        <v>46351</v>
      </c>
      <c r="F12" s="25" t="n">
        <f aca="false">IF(_xlfn.MAXIFS('Inspection History'!$A$6:$A$20000,'Inspection History'!$B$6:$B$20000,$A12,'Inspection History'!$C$6:$C$20000,"Annual Maint",'Inspection History'!$D$6:$D$20000,"Pass")=0,"",_xlfn.MAXIFS('Inspection History'!$A$6:$A$20000,'Inspection History'!$B$6:$B$20000,$A12,'Inspection History'!$C$6:$C$20000,"Annual Maint",'Inspection History'!$D$6:$D$20000,"Pass"))</f>
        <v>46082</v>
      </c>
      <c r="G12" s="25" t="n">
        <f aca="false">IF($F12="","",EDATE($F12,Intervals!$C$6))</f>
        <v>46447</v>
      </c>
      <c r="H12" s="25" t="str">
        <f aca="false">IF(_xlfn.MAXIFS('Inspection History'!$A$6:$A$20000,'Inspection History'!$B$6:$B$20000,$A12,'Inspection History'!$C$6:$C$20000,"Internal Exam",'Inspection History'!$D$6:$D$20000,"Pass")=0,"",_xlfn.MAXIFS('Inspection History'!$A$6:$A$20000,'Inspection History'!$B$6:$B$20000,$A12,'Inspection History'!$C$6:$C$20000,"Internal Exam",'Inspection History'!$D$6:$D$20000,"Pass"))</f>
        <v/>
      </c>
      <c r="I12" s="25" t="n">
        <f aca="false">IF(OR($C12="",AND($H12="",$P12="")),"",EDATE(IF($H12="",$P12,$H12),12*INDEX(Intervals!$B$14:$B$18,MATCH($C12,Intervals!$A$14:$A$18,0))))</f>
        <v>47849</v>
      </c>
      <c r="J12" s="25" t="str">
        <f aca="false">IF(_xlfn.MAXIFS('Inspection History'!$A$6:$A$20000,'Inspection History'!$B$6:$B$20000,$A12,'Inspection History'!$C$6:$C$20000,"Hydro Test",'Inspection History'!$D$6:$D$20000,"Pass")=0,"",_xlfn.MAXIFS('Inspection History'!$A$6:$A$20000,'Inspection History'!$B$6:$B$20000,$A12,'Inspection History'!$C$6:$C$20000,"Hydro Test",'Inspection History'!$D$6:$D$20000,"Pass"))</f>
        <v/>
      </c>
      <c r="K12" s="25" t="n">
        <f aca="false">IF(OR($C12="",AND($J12="",$P12="")),"",EDATE(IF($J12="",$P12,$J12),12*INDEX(Intervals!$C$14:$C$18,MATCH($C12,Intervals!$A$14:$A$18,0))))</f>
        <v>47849</v>
      </c>
      <c r="L12" s="13" t="str">
        <f aca="false">IF(COUNT($E12,$G12,$I12,$K12)=0,"—",IF(MIN($E12,$G12,$I12,$K12)=$E12,"Monthly inspection",IF(MIN($E12,$G12,$I12,$K12)=$G12,"Annual maintenance",IF(MIN($E12,$G12,$I12,$K12)=$I12,"Internal exam","Hydrostatic test"))))</f>
        <v>Monthly inspection</v>
      </c>
      <c r="M12" s="26" t="n">
        <f aca="true">IF(COUNT($E12,$G12,$I12,$K12)=0,"",MIN($E12,$G12,$I12,$K12)-TODAY())</f>
        <v>30</v>
      </c>
      <c r="N12" s="23" t="str">
        <f aca="false">IF($M12="","NOT LOGGED",IF($M12&lt;=0,"OVERDUE",IF($M12&lt;=Intervals!$C$26,"DUE SOON","OK")))</f>
        <v>OK</v>
      </c>
      <c r="O12" s="24"/>
      <c r="P12" s="5" t="n">
        <v>46023</v>
      </c>
      <c r="Q12" s="27" t="str">
        <f aca="false">IF($D12="","",IF(SUMPRODUCT(MAX(('Inspection History'!$B$6:$B$20000=$A12)*('Inspection History'!$C$6:$C$20000="Monthly Insp")*('Inspection History'!$D$6:$D$20000="Pass")*('Inspection History'!$A$6:$A$20000=$D12)*ROW('Inspection History'!$A$6:$A$20000)))=0,"",INDEX('Inspection History'!$E:$E,SUMPRODUCT(MAX(('Inspection History'!$B$6:$B$20000=$A12)*('Inspection History'!$C$6:$C$20000="Monthly Insp")*('Inspection History'!$D$6:$D$20000="Pass")*('Inspection History'!$A$6:$A$20000=$D12)*ROW('Inspection History'!$A$6:$A$20000))))&amp;""))</f>
        <v>J. Godek</v>
      </c>
    </row>
    <row r="13" customFormat="false" ht="14.25" hidden="false" customHeight="true" outlineLevel="0" collapsed="false">
      <c r="A13" s="23" t="s">
        <v>44</v>
      </c>
      <c r="B13" s="13" t="s">
        <v>165</v>
      </c>
      <c r="C13" s="24" t="s">
        <v>104</v>
      </c>
      <c r="D13" s="25" t="n">
        <f aca="false">IF(_xlfn.MAXIFS('Inspection History'!$A$6:$A$20000,'Inspection History'!$B$6:$B$20000,$A13,'Inspection History'!$C$6:$C$20000,"Monthly Insp",'Inspection History'!$D$6:$D$20000,"Pass")=0,"",_xlfn.MAXIFS('Inspection History'!$A$6:$A$20000,'Inspection History'!$B$6:$B$20000,$A13,'Inspection History'!$C$6:$C$20000,"Monthly Insp",'Inspection History'!$D$6:$D$20000,"Pass"))</f>
        <v>46321</v>
      </c>
      <c r="E13" s="25" t="n">
        <f aca="false">IF($D13="","",$D13+Intervals!$C$5)</f>
        <v>46351</v>
      </c>
      <c r="F13" s="25" t="n">
        <f aca="false">IF(_xlfn.MAXIFS('Inspection History'!$A$6:$A$20000,'Inspection History'!$B$6:$B$20000,$A13,'Inspection History'!$C$6:$C$20000,"Annual Maint",'Inspection History'!$D$6:$D$20000,"Pass")=0,"",_xlfn.MAXIFS('Inspection History'!$A$6:$A$20000,'Inspection History'!$B$6:$B$20000,$A13,'Inspection History'!$C$6:$C$20000,"Annual Maint",'Inspection History'!$D$6:$D$20000,"Pass"))</f>
        <v>46082</v>
      </c>
      <c r="G13" s="25" t="n">
        <f aca="false">IF($F13="","",EDATE($F13,Intervals!$C$6))</f>
        <v>46447</v>
      </c>
      <c r="H13" s="25" t="str">
        <f aca="false">IF(_xlfn.MAXIFS('Inspection History'!$A$6:$A$20000,'Inspection History'!$B$6:$B$20000,$A13,'Inspection History'!$C$6:$C$20000,"Internal Exam",'Inspection History'!$D$6:$D$20000,"Pass")=0,"",_xlfn.MAXIFS('Inspection History'!$A$6:$A$20000,'Inspection History'!$B$6:$B$20000,$A13,'Inspection History'!$C$6:$C$20000,"Internal Exam",'Inspection History'!$D$6:$D$20000,"Pass"))</f>
        <v/>
      </c>
      <c r="I13" s="25" t="n">
        <f aca="false">IF(OR($C13="",AND($H13="",$P13="")),"",EDATE(IF($H13="",$P13,$H13),12*INDEX(Intervals!$B$14:$B$18,MATCH($C13,Intervals!$A$14:$A$18,0))))</f>
        <v>48214</v>
      </c>
      <c r="J13" s="25" t="str">
        <f aca="false">IF(_xlfn.MAXIFS('Inspection History'!$A$6:$A$20000,'Inspection History'!$B$6:$B$20000,$A13,'Inspection History'!$C$6:$C$20000,"Hydro Test",'Inspection History'!$D$6:$D$20000,"Pass")=0,"",_xlfn.MAXIFS('Inspection History'!$A$6:$A$20000,'Inspection History'!$B$6:$B$20000,$A13,'Inspection History'!$C$6:$C$20000,"Hydro Test",'Inspection History'!$D$6:$D$20000,"Pass"))</f>
        <v/>
      </c>
      <c r="K13" s="25" t="n">
        <f aca="false">IF(OR($C13="",AND($J13="",$P13="")),"",EDATE(IF($J13="",$P13,$J13),12*INDEX(Intervals!$C$14:$C$18,MATCH($C13,Intervals!$A$14:$A$18,0))))</f>
        <v>50406</v>
      </c>
      <c r="L13" s="13" t="str">
        <f aca="false">IF(COUNT($E13,$G13,$I13,$K13)=0,"—",IF(MIN($E13,$G13,$I13,$K13)=$E13,"Monthly inspection",IF(MIN($E13,$G13,$I13,$K13)=$G13,"Annual maintenance",IF(MIN($E13,$G13,$I13,$K13)=$I13,"Internal exam","Hydrostatic test"))))</f>
        <v>Monthly inspection</v>
      </c>
      <c r="M13" s="26" t="n">
        <f aca="true">IF(COUNT($E13,$G13,$I13,$K13)=0,"",MIN($E13,$G13,$I13,$K13)-TODAY())</f>
        <v>30</v>
      </c>
      <c r="N13" s="23" t="str">
        <f aca="false">IF($M13="","NOT LOGGED",IF($M13&lt;=0,"OVERDUE",IF($M13&lt;=Intervals!$C$26,"DUE SOON","OK")))</f>
        <v>OK</v>
      </c>
      <c r="O13" s="24"/>
      <c r="P13" s="5" t="n">
        <v>46023</v>
      </c>
      <c r="Q13" s="27" t="str">
        <f aca="false">IF($D13="","",IF(SUMPRODUCT(MAX(('Inspection History'!$B$6:$B$20000=$A13)*('Inspection History'!$C$6:$C$20000="Monthly Insp")*('Inspection History'!$D$6:$D$20000="Pass")*('Inspection History'!$A$6:$A$20000=$D13)*ROW('Inspection History'!$A$6:$A$20000)))=0,"",INDEX('Inspection History'!$E:$E,SUMPRODUCT(MAX(('Inspection History'!$B$6:$B$20000=$A13)*('Inspection History'!$C$6:$C$20000="Monthly Insp")*('Inspection History'!$D$6:$D$20000="Pass")*('Inspection History'!$A$6:$A$20000=$D13)*ROW('Inspection History'!$A$6:$A$20000))))&amp;""))</f>
        <v>J. Godek</v>
      </c>
    </row>
    <row r="14" customFormat="false" ht="14.25" hidden="false" customHeight="true" outlineLevel="0" collapsed="false">
      <c r="A14" s="23" t="s">
        <v>45</v>
      </c>
      <c r="B14" s="13" t="s">
        <v>166</v>
      </c>
      <c r="C14" s="24" t="s">
        <v>104</v>
      </c>
      <c r="D14" s="25" t="n">
        <f aca="false">IF(_xlfn.MAXIFS('Inspection History'!$A$6:$A$20000,'Inspection History'!$B$6:$B$20000,$A14,'Inspection History'!$C$6:$C$20000,"Monthly Insp",'Inspection History'!$D$6:$D$20000,"Pass")=0,"",_xlfn.MAXIFS('Inspection History'!$A$6:$A$20000,'Inspection History'!$B$6:$B$20000,$A14,'Inspection History'!$C$6:$C$20000,"Monthly Insp",'Inspection History'!$D$6:$D$20000,"Pass"))</f>
        <v>46321</v>
      </c>
      <c r="E14" s="25" t="n">
        <f aca="false">IF($D14="","",$D14+Intervals!$C$5)</f>
        <v>46351</v>
      </c>
      <c r="F14" s="25" t="n">
        <f aca="false">IF(_xlfn.MAXIFS('Inspection History'!$A$6:$A$20000,'Inspection History'!$B$6:$B$20000,$A14,'Inspection History'!$C$6:$C$20000,"Annual Maint",'Inspection History'!$D$6:$D$20000,"Pass")=0,"",_xlfn.MAXIFS('Inspection History'!$A$6:$A$20000,'Inspection History'!$B$6:$B$20000,$A14,'Inspection History'!$C$6:$C$20000,"Annual Maint",'Inspection History'!$D$6:$D$20000,"Pass"))</f>
        <v>46082</v>
      </c>
      <c r="G14" s="25" t="n">
        <f aca="false">IF($F14="","",EDATE($F14,Intervals!$C$6))</f>
        <v>46447</v>
      </c>
      <c r="H14" s="25" t="str">
        <f aca="false">IF(_xlfn.MAXIFS('Inspection History'!$A$6:$A$20000,'Inspection History'!$B$6:$B$20000,$A14,'Inspection History'!$C$6:$C$20000,"Internal Exam",'Inspection History'!$D$6:$D$20000,"Pass")=0,"",_xlfn.MAXIFS('Inspection History'!$A$6:$A$20000,'Inspection History'!$B$6:$B$20000,$A14,'Inspection History'!$C$6:$C$20000,"Internal Exam",'Inspection History'!$D$6:$D$20000,"Pass"))</f>
        <v/>
      </c>
      <c r="I14" s="25" t="n">
        <f aca="false">IF(OR($C14="",AND($H14="",$P14="")),"",EDATE(IF($H14="",$P14,$H14),12*INDEX(Intervals!$B$14:$B$18,MATCH($C14,Intervals!$A$14:$A$18,0))))</f>
        <v>48214</v>
      </c>
      <c r="J14" s="25" t="str">
        <f aca="false">IF(_xlfn.MAXIFS('Inspection History'!$A$6:$A$20000,'Inspection History'!$B$6:$B$20000,$A14,'Inspection History'!$C$6:$C$20000,"Hydro Test",'Inspection History'!$D$6:$D$20000,"Pass")=0,"",_xlfn.MAXIFS('Inspection History'!$A$6:$A$20000,'Inspection History'!$B$6:$B$20000,$A14,'Inspection History'!$C$6:$C$20000,"Hydro Test",'Inspection History'!$D$6:$D$20000,"Pass"))</f>
        <v/>
      </c>
      <c r="K14" s="25" t="n">
        <f aca="false">IF(OR($C14="",AND($J14="",$P14="")),"",EDATE(IF($J14="",$P14,$J14),12*INDEX(Intervals!$C$14:$C$18,MATCH($C14,Intervals!$A$14:$A$18,0))))</f>
        <v>50406</v>
      </c>
      <c r="L14" s="13" t="str">
        <f aca="false">IF(COUNT($E14,$G14,$I14,$K14)=0,"—",IF(MIN($E14,$G14,$I14,$K14)=$E14,"Monthly inspection",IF(MIN($E14,$G14,$I14,$K14)=$G14,"Annual maintenance",IF(MIN($E14,$G14,$I14,$K14)=$I14,"Internal exam","Hydrostatic test"))))</f>
        <v>Monthly inspection</v>
      </c>
      <c r="M14" s="26" t="n">
        <f aca="true">IF(COUNT($E14,$G14,$I14,$K14)=0,"",MIN($E14,$G14,$I14,$K14)-TODAY())</f>
        <v>30</v>
      </c>
      <c r="N14" s="23" t="str">
        <f aca="false">IF($M14="","NOT LOGGED",IF($M14&lt;=0,"OVERDUE",IF($M14&lt;=Intervals!$C$26,"DUE SOON","OK")))</f>
        <v>OK</v>
      </c>
      <c r="O14" s="24"/>
      <c r="P14" s="5" t="n">
        <v>46023</v>
      </c>
      <c r="Q14" s="27" t="str">
        <f aca="false">IF($D14="","",IF(SUMPRODUCT(MAX(('Inspection History'!$B$6:$B$20000=$A14)*('Inspection History'!$C$6:$C$20000="Monthly Insp")*('Inspection History'!$D$6:$D$20000="Pass")*('Inspection History'!$A$6:$A$20000=$D14)*ROW('Inspection History'!$A$6:$A$20000)))=0,"",INDEX('Inspection History'!$E:$E,SUMPRODUCT(MAX(('Inspection History'!$B$6:$B$20000=$A14)*('Inspection History'!$C$6:$C$20000="Monthly Insp")*('Inspection History'!$D$6:$D$20000="Pass")*('Inspection History'!$A$6:$A$20000=$D14)*ROW('Inspection History'!$A$6:$A$20000))))&amp;""))</f>
        <v>J. Godek</v>
      </c>
    </row>
    <row r="15" customFormat="false" ht="14.25" hidden="false" customHeight="true" outlineLevel="0" collapsed="false">
      <c r="A15" s="23" t="s">
        <v>48</v>
      </c>
      <c r="B15" s="13" t="s">
        <v>167</v>
      </c>
      <c r="C15" s="24" t="s">
        <v>104</v>
      </c>
      <c r="D15" s="25" t="n">
        <f aca="false">IF(_xlfn.MAXIFS('Inspection History'!$A$6:$A$20000,'Inspection History'!$B$6:$B$20000,$A15,'Inspection History'!$C$6:$C$20000,"Monthly Insp",'Inspection History'!$D$6:$D$20000,"Pass")=0,"",_xlfn.MAXIFS('Inspection History'!$A$6:$A$20000,'Inspection History'!$B$6:$B$20000,$A15,'Inspection History'!$C$6:$C$20000,"Monthly Insp",'Inspection History'!$D$6:$D$20000,"Pass"))</f>
        <v>46321</v>
      </c>
      <c r="E15" s="25" t="n">
        <f aca="false">IF($D15="","",$D15+Intervals!$C$5)</f>
        <v>46351</v>
      </c>
      <c r="F15" s="25" t="n">
        <f aca="false">IF(_xlfn.MAXIFS('Inspection History'!$A$6:$A$20000,'Inspection History'!$B$6:$B$20000,$A15,'Inspection History'!$C$6:$C$20000,"Annual Maint",'Inspection History'!$D$6:$D$20000,"Pass")=0,"",_xlfn.MAXIFS('Inspection History'!$A$6:$A$20000,'Inspection History'!$B$6:$B$20000,$A15,'Inspection History'!$C$6:$C$20000,"Annual Maint",'Inspection History'!$D$6:$D$20000,"Pass"))</f>
        <v>46082</v>
      </c>
      <c r="G15" s="25" t="n">
        <f aca="false">IF($F15="","",EDATE($F15,Intervals!$C$6))</f>
        <v>46447</v>
      </c>
      <c r="H15" s="25" t="str">
        <f aca="false">IF(_xlfn.MAXIFS('Inspection History'!$A$6:$A$20000,'Inspection History'!$B$6:$B$20000,$A15,'Inspection History'!$C$6:$C$20000,"Internal Exam",'Inspection History'!$D$6:$D$20000,"Pass")=0,"",_xlfn.MAXIFS('Inspection History'!$A$6:$A$20000,'Inspection History'!$B$6:$B$20000,$A15,'Inspection History'!$C$6:$C$20000,"Internal Exam",'Inspection History'!$D$6:$D$20000,"Pass"))</f>
        <v/>
      </c>
      <c r="I15" s="25" t="n">
        <f aca="false">IF(OR($C15="",AND($H15="",$P15="")),"",EDATE(IF($H15="",$P15,$H15),12*INDEX(Intervals!$B$14:$B$18,MATCH($C15,Intervals!$A$14:$A$18,0))))</f>
        <v>48214</v>
      </c>
      <c r="J15" s="25" t="str">
        <f aca="false">IF(_xlfn.MAXIFS('Inspection History'!$A$6:$A$20000,'Inspection History'!$B$6:$B$20000,$A15,'Inspection History'!$C$6:$C$20000,"Hydro Test",'Inspection History'!$D$6:$D$20000,"Pass")=0,"",_xlfn.MAXIFS('Inspection History'!$A$6:$A$20000,'Inspection History'!$B$6:$B$20000,$A15,'Inspection History'!$C$6:$C$20000,"Hydro Test",'Inspection History'!$D$6:$D$20000,"Pass"))</f>
        <v/>
      </c>
      <c r="K15" s="25" t="n">
        <f aca="false">IF(OR($C15="",AND($J15="",$P15="")),"",EDATE(IF($J15="",$P15,$J15),12*INDEX(Intervals!$C$14:$C$18,MATCH($C15,Intervals!$A$14:$A$18,0))))</f>
        <v>50406</v>
      </c>
      <c r="L15" s="13" t="str">
        <f aca="false">IF(COUNT($E15,$G15,$I15,$K15)=0,"—",IF(MIN($E15,$G15,$I15,$K15)=$E15,"Monthly inspection",IF(MIN($E15,$G15,$I15,$K15)=$G15,"Annual maintenance",IF(MIN($E15,$G15,$I15,$K15)=$I15,"Internal exam","Hydrostatic test"))))</f>
        <v>Monthly inspection</v>
      </c>
      <c r="M15" s="26" t="n">
        <f aca="true">IF(COUNT($E15,$G15,$I15,$K15)=0,"",MIN($E15,$G15,$I15,$K15)-TODAY())</f>
        <v>30</v>
      </c>
      <c r="N15" s="23" t="str">
        <f aca="false">IF($M15="","NOT LOGGED",IF($M15&lt;=0,"OVERDUE",IF($M15&lt;=Intervals!$C$26,"DUE SOON","OK")))</f>
        <v>OK</v>
      </c>
      <c r="O15" s="24"/>
      <c r="P15" s="5" t="n">
        <v>46023</v>
      </c>
      <c r="Q15" s="27" t="str">
        <f aca="false">IF($D15="","",IF(SUMPRODUCT(MAX(('Inspection History'!$B$6:$B$20000=$A15)*('Inspection History'!$C$6:$C$20000="Monthly Insp")*('Inspection History'!$D$6:$D$20000="Pass")*('Inspection History'!$A$6:$A$20000=$D15)*ROW('Inspection History'!$A$6:$A$20000)))=0,"",INDEX('Inspection History'!$E:$E,SUMPRODUCT(MAX(('Inspection History'!$B$6:$B$20000=$A15)*('Inspection History'!$C$6:$C$20000="Monthly Insp")*('Inspection History'!$D$6:$D$20000="Pass")*('Inspection History'!$A$6:$A$20000=$D15)*ROW('Inspection History'!$A$6:$A$20000))))&amp;""))</f>
        <v>J. Godek</v>
      </c>
    </row>
    <row r="16" customFormat="false" ht="14.25" hidden="false" customHeight="true" outlineLevel="0" collapsed="false">
      <c r="A16" s="23" t="s">
        <v>49</v>
      </c>
      <c r="B16" s="13" t="s">
        <v>168</v>
      </c>
      <c r="C16" s="24" t="s">
        <v>104</v>
      </c>
      <c r="D16" s="25" t="n">
        <f aca="false">IF(_xlfn.MAXIFS('Inspection History'!$A$6:$A$20000,'Inspection History'!$B$6:$B$20000,$A16,'Inspection History'!$C$6:$C$20000,"Monthly Insp",'Inspection History'!$D$6:$D$20000,"Pass")=0,"",_xlfn.MAXIFS('Inspection History'!$A$6:$A$20000,'Inspection History'!$B$6:$B$20000,$A16,'Inspection History'!$C$6:$C$20000,"Monthly Insp",'Inspection History'!$D$6:$D$20000,"Pass"))</f>
        <v>46321</v>
      </c>
      <c r="E16" s="25" t="n">
        <f aca="false">IF($D16="","",$D16+Intervals!$C$5)</f>
        <v>46351</v>
      </c>
      <c r="F16" s="25" t="n">
        <f aca="false">IF(_xlfn.MAXIFS('Inspection History'!$A$6:$A$20000,'Inspection History'!$B$6:$B$20000,$A16,'Inspection History'!$C$6:$C$20000,"Annual Maint",'Inspection History'!$D$6:$D$20000,"Pass")=0,"",_xlfn.MAXIFS('Inspection History'!$A$6:$A$20000,'Inspection History'!$B$6:$B$20000,$A16,'Inspection History'!$C$6:$C$20000,"Annual Maint",'Inspection History'!$D$6:$D$20000,"Pass"))</f>
        <v>46082</v>
      </c>
      <c r="G16" s="25" t="n">
        <f aca="false">IF($F16="","",EDATE($F16,Intervals!$C$6))</f>
        <v>46447</v>
      </c>
      <c r="H16" s="25" t="str">
        <f aca="false">IF(_xlfn.MAXIFS('Inspection History'!$A$6:$A$20000,'Inspection History'!$B$6:$B$20000,$A16,'Inspection History'!$C$6:$C$20000,"Internal Exam",'Inspection History'!$D$6:$D$20000,"Pass")=0,"",_xlfn.MAXIFS('Inspection History'!$A$6:$A$20000,'Inspection History'!$B$6:$B$20000,$A16,'Inspection History'!$C$6:$C$20000,"Internal Exam",'Inspection History'!$D$6:$D$20000,"Pass"))</f>
        <v/>
      </c>
      <c r="I16" s="25" t="n">
        <f aca="false">IF(OR($C16="",AND($H16="",$P16="")),"",EDATE(IF($H16="",$P16,$H16),12*INDEX(Intervals!$B$14:$B$18,MATCH($C16,Intervals!$A$14:$A$18,0))))</f>
        <v>48214</v>
      </c>
      <c r="J16" s="25" t="str">
        <f aca="false">IF(_xlfn.MAXIFS('Inspection History'!$A$6:$A$20000,'Inspection History'!$B$6:$B$20000,$A16,'Inspection History'!$C$6:$C$20000,"Hydro Test",'Inspection History'!$D$6:$D$20000,"Pass")=0,"",_xlfn.MAXIFS('Inspection History'!$A$6:$A$20000,'Inspection History'!$B$6:$B$20000,$A16,'Inspection History'!$C$6:$C$20000,"Hydro Test",'Inspection History'!$D$6:$D$20000,"Pass"))</f>
        <v/>
      </c>
      <c r="K16" s="25" t="n">
        <f aca="false">IF(OR($C16="",AND($J16="",$P16="")),"",EDATE(IF($J16="",$P16,$J16),12*INDEX(Intervals!$C$14:$C$18,MATCH($C16,Intervals!$A$14:$A$18,0))))</f>
        <v>50406</v>
      </c>
      <c r="L16" s="13" t="str">
        <f aca="false">IF(COUNT($E16,$G16,$I16,$K16)=0,"—",IF(MIN($E16,$G16,$I16,$K16)=$E16,"Monthly inspection",IF(MIN($E16,$G16,$I16,$K16)=$G16,"Annual maintenance",IF(MIN($E16,$G16,$I16,$K16)=$I16,"Internal exam","Hydrostatic test"))))</f>
        <v>Monthly inspection</v>
      </c>
      <c r="M16" s="26" t="n">
        <f aca="true">IF(COUNT($E16,$G16,$I16,$K16)=0,"",MIN($E16,$G16,$I16,$K16)-TODAY())</f>
        <v>30</v>
      </c>
      <c r="N16" s="23" t="str">
        <f aca="false">IF($M16="","NOT LOGGED",IF($M16&lt;=0,"OVERDUE",IF($M16&lt;=Intervals!$C$26,"DUE SOON","OK")))</f>
        <v>OK</v>
      </c>
      <c r="O16" s="24"/>
      <c r="P16" s="5" t="n">
        <v>46023</v>
      </c>
      <c r="Q16" s="27" t="str">
        <f aca="false">IF($D16="","",IF(SUMPRODUCT(MAX(('Inspection History'!$B$6:$B$20000=$A16)*('Inspection History'!$C$6:$C$20000="Monthly Insp")*('Inspection History'!$D$6:$D$20000="Pass")*('Inspection History'!$A$6:$A$20000=$D16)*ROW('Inspection History'!$A$6:$A$20000)))=0,"",INDEX('Inspection History'!$E:$E,SUMPRODUCT(MAX(('Inspection History'!$B$6:$B$20000=$A16)*('Inspection History'!$C$6:$C$20000="Monthly Insp")*('Inspection History'!$D$6:$D$20000="Pass")*('Inspection History'!$A$6:$A$20000=$D16)*ROW('Inspection History'!$A$6:$A$20000))))&amp;""))</f>
        <v>J. Godek</v>
      </c>
    </row>
    <row r="17" customFormat="false" ht="14.25" hidden="false" customHeight="true" outlineLevel="0" collapsed="false">
      <c r="A17" s="23" t="s">
        <v>50</v>
      </c>
      <c r="B17" s="13" t="s">
        <v>169</v>
      </c>
      <c r="C17" s="24" t="s">
        <v>104</v>
      </c>
      <c r="D17" s="25" t="n">
        <f aca="false">IF(_xlfn.MAXIFS('Inspection History'!$A$6:$A$20000,'Inspection History'!$B$6:$B$20000,$A17,'Inspection History'!$C$6:$C$20000,"Monthly Insp",'Inspection History'!$D$6:$D$20000,"Pass")=0,"",_xlfn.MAXIFS('Inspection History'!$A$6:$A$20000,'Inspection History'!$B$6:$B$20000,$A17,'Inspection History'!$C$6:$C$20000,"Monthly Insp",'Inspection History'!$D$6:$D$20000,"Pass"))</f>
        <v>46321</v>
      </c>
      <c r="E17" s="25" t="n">
        <f aca="false">IF($D17="","",$D17+Intervals!$C$5)</f>
        <v>46351</v>
      </c>
      <c r="F17" s="25" t="n">
        <f aca="false">IF(_xlfn.MAXIFS('Inspection History'!$A$6:$A$20000,'Inspection History'!$B$6:$B$20000,$A17,'Inspection History'!$C$6:$C$20000,"Annual Maint",'Inspection History'!$D$6:$D$20000,"Pass")=0,"",_xlfn.MAXIFS('Inspection History'!$A$6:$A$20000,'Inspection History'!$B$6:$B$20000,$A17,'Inspection History'!$C$6:$C$20000,"Annual Maint",'Inspection History'!$D$6:$D$20000,"Pass"))</f>
        <v>46082</v>
      </c>
      <c r="G17" s="25" t="n">
        <f aca="false">IF($F17="","",EDATE($F17,Intervals!$C$6))</f>
        <v>46447</v>
      </c>
      <c r="H17" s="25" t="str">
        <f aca="false">IF(_xlfn.MAXIFS('Inspection History'!$A$6:$A$20000,'Inspection History'!$B$6:$B$20000,$A17,'Inspection History'!$C$6:$C$20000,"Internal Exam",'Inspection History'!$D$6:$D$20000,"Pass")=0,"",_xlfn.MAXIFS('Inspection History'!$A$6:$A$20000,'Inspection History'!$B$6:$B$20000,$A17,'Inspection History'!$C$6:$C$20000,"Internal Exam",'Inspection History'!$D$6:$D$20000,"Pass"))</f>
        <v/>
      </c>
      <c r="I17" s="25" t="n">
        <f aca="false">IF(OR($C17="",AND($H17="",$P17="")),"",EDATE(IF($H17="",$P17,$H17),12*INDEX(Intervals!$B$14:$B$18,MATCH($C17,Intervals!$A$14:$A$18,0))))</f>
        <v>48214</v>
      </c>
      <c r="J17" s="25" t="str">
        <f aca="false">IF(_xlfn.MAXIFS('Inspection History'!$A$6:$A$20000,'Inspection History'!$B$6:$B$20000,$A17,'Inspection History'!$C$6:$C$20000,"Hydro Test",'Inspection History'!$D$6:$D$20000,"Pass")=0,"",_xlfn.MAXIFS('Inspection History'!$A$6:$A$20000,'Inspection History'!$B$6:$B$20000,$A17,'Inspection History'!$C$6:$C$20000,"Hydro Test",'Inspection History'!$D$6:$D$20000,"Pass"))</f>
        <v/>
      </c>
      <c r="K17" s="25" t="n">
        <f aca="false">IF(OR($C17="",AND($J17="",$P17="")),"",EDATE(IF($J17="",$P17,$J17),12*INDEX(Intervals!$C$14:$C$18,MATCH($C17,Intervals!$A$14:$A$18,0))))</f>
        <v>50406</v>
      </c>
      <c r="L17" s="13" t="str">
        <f aca="false">IF(COUNT($E17,$G17,$I17,$K17)=0,"—",IF(MIN($E17,$G17,$I17,$K17)=$E17,"Monthly inspection",IF(MIN($E17,$G17,$I17,$K17)=$G17,"Annual maintenance",IF(MIN($E17,$G17,$I17,$K17)=$I17,"Internal exam","Hydrostatic test"))))</f>
        <v>Monthly inspection</v>
      </c>
      <c r="M17" s="26" t="n">
        <f aca="true">IF(COUNT($E17,$G17,$I17,$K17)=0,"",MIN($E17,$G17,$I17,$K17)-TODAY())</f>
        <v>30</v>
      </c>
      <c r="N17" s="23" t="str">
        <f aca="false">IF($M17="","NOT LOGGED",IF($M17&lt;=0,"OVERDUE",IF($M17&lt;=Intervals!$C$26,"DUE SOON","OK")))</f>
        <v>OK</v>
      </c>
      <c r="O17" s="24"/>
      <c r="P17" s="5" t="n">
        <v>46023</v>
      </c>
      <c r="Q17" s="27" t="str">
        <f aca="false">IF($D17="","",IF(SUMPRODUCT(MAX(('Inspection History'!$B$6:$B$20000=$A17)*('Inspection History'!$C$6:$C$20000="Monthly Insp")*('Inspection History'!$D$6:$D$20000="Pass")*('Inspection History'!$A$6:$A$20000=$D17)*ROW('Inspection History'!$A$6:$A$20000)))=0,"",INDEX('Inspection History'!$E:$E,SUMPRODUCT(MAX(('Inspection History'!$B$6:$B$20000=$A17)*('Inspection History'!$C$6:$C$20000="Monthly Insp")*('Inspection History'!$D$6:$D$20000="Pass")*('Inspection History'!$A$6:$A$20000=$D17)*ROW('Inspection History'!$A$6:$A$20000))))&amp;""))</f>
        <v>J. Godek</v>
      </c>
    </row>
    <row r="18" customFormat="false" ht="14.25" hidden="false" customHeight="true" outlineLevel="0" collapsed="false">
      <c r="A18" s="23" t="s">
        <v>51</v>
      </c>
      <c r="B18" s="13" t="s">
        <v>170</v>
      </c>
      <c r="C18" s="24" t="s">
        <v>104</v>
      </c>
      <c r="D18" s="25" t="n">
        <f aca="false">IF(_xlfn.MAXIFS('Inspection History'!$A$6:$A$20000,'Inspection History'!$B$6:$B$20000,$A18,'Inspection History'!$C$6:$C$20000,"Monthly Insp",'Inspection History'!$D$6:$D$20000,"Pass")=0,"",_xlfn.MAXIFS('Inspection History'!$A$6:$A$20000,'Inspection History'!$B$6:$B$20000,$A18,'Inspection History'!$C$6:$C$20000,"Monthly Insp",'Inspection History'!$D$6:$D$20000,"Pass"))</f>
        <v>46321</v>
      </c>
      <c r="E18" s="25" t="n">
        <f aca="false">IF($D18="","",$D18+Intervals!$C$5)</f>
        <v>46351</v>
      </c>
      <c r="F18" s="25" t="n">
        <f aca="false">IF(_xlfn.MAXIFS('Inspection History'!$A$6:$A$20000,'Inspection History'!$B$6:$B$20000,$A18,'Inspection History'!$C$6:$C$20000,"Annual Maint",'Inspection History'!$D$6:$D$20000,"Pass")=0,"",_xlfn.MAXIFS('Inspection History'!$A$6:$A$20000,'Inspection History'!$B$6:$B$20000,$A18,'Inspection History'!$C$6:$C$20000,"Annual Maint",'Inspection History'!$D$6:$D$20000,"Pass"))</f>
        <v>46082</v>
      </c>
      <c r="G18" s="25" t="n">
        <f aca="false">IF($F18="","",EDATE($F18,Intervals!$C$6))</f>
        <v>46447</v>
      </c>
      <c r="H18" s="25" t="str">
        <f aca="false">IF(_xlfn.MAXIFS('Inspection History'!$A$6:$A$20000,'Inspection History'!$B$6:$B$20000,$A18,'Inspection History'!$C$6:$C$20000,"Internal Exam",'Inspection History'!$D$6:$D$20000,"Pass")=0,"",_xlfn.MAXIFS('Inspection History'!$A$6:$A$20000,'Inspection History'!$B$6:$B$20000,$A18,'Inspection History'!$C$6:$C$20000,"Internal Exam",'Inspection History'!$D$6:$D$20000,"Pass"))</f>
        <v/>
      </c>
      <c r="I18" s="25" t="n">
        <f aca="false">IF(OR($C18="",AND($H18="",$P18="")),"",EDATE(IF($H18="",$P18,$H18),12*INDEX(Intervals!$B$14:$B$18,MATCH($C18,Intervals!$A$14:$A$18,0))))</f>
        <v>48214</v>
      </c>
      <c r="J18" s="25" t="str">
        <f aca="false">IF(_xlfn.MAXIFS('Inspection History'!$A$6:$A$20000,'Inspection History'!$B$6:$B$20000,$A18,'Inspection History'!$C$6:$C$20000,"Hydro Test",'Inspection History'!$D$6:$D$20000,"Pass")=0,"",_xlfn.MAXIFS('Inspection History'!$A$6:$A$20000,'Inspection History'!$B$6:$B$20000,$A18,'Inspection History'!$C$6:$C$20000,"Hydro Test",'Inspection History'!$D$6:$D$20000,"Pass"))</f>
        <v/>
      </c>
      <c r="K18" s="25" t="n">
        <f aca="false">IF(OR($C18="",AND($J18="",$P18="")),"",EDATE(IF($J18="",$P18,$J18),12*INDEX(Intervals!$C$14:$C$18,MATCH($C18,Intervals!$A$14:$A$18,0))))</f>
        <v>50406</v>
      </c>
      <c r="L18" s="13" t="str">
        <f aca="false">IF(COUNT($E18,$G18,$I18,$K18)=0,"—",IF(MIN($E18,$G18,$I18,$K18)=$E18,"Monthly inspection",IF(MIN($E18,$G18,$I18,$K18)=$G18,"Annual maintenance",IF(MIN($E18,$G18,$I18,$K18)=$I18,"Internal exam","Hydrostatic test"))))</f>
        <v>Monthly inspection</v>
      </c>
      <c r="M18" s="26" t="n">
        <f aca="true">IF(COUNT($E18,$G18,$I18,$K18)=0,"",MIN($E18,$G18,$I18,$K18)-TODAY())</f>
        <v>30</v>
      </c>
      <c r="N18" s="23" t="str">
        <f aca="false">IF($M18="","NOT LOGGED",IF($M18&lt;=0,"OVERDUE",IF($M18&lt;=Intervals!$C$26,"DUE SOON","OK")))</f>
        <v>OK</v>
      </c>
      <c r="O18" s="24"/>
      <c r="P18" s="5" t="n">
        <v>46023</v>
      </c>
      <c r="Q18" s="27" t="str">
        <f aca="false">IF($D18="","",IF(SUMPRODUCT(MAX(('Inspection History'!$B$6:$B$20000=$A18)*('Inspection History'!$C$6:$C$20000="Monthly Insp")*('Inspection History'!$D$6:$D$20000="Pass")*('Inspection History'!$A$6:$A$20000=$D18)*ROW('Inspection History'!$A$6:$A$20000)))=0,"",INDEX('Inspection History'!$E:$E,SUMPRODUCT(MAX(('Inspection History'!$B$6:$B$20000=$A18)*('Inspection History'!$C$6:$C$20000="Monthly Insp")*('Inspection History'!$D$6:$D$20000="Pass")*('Inspection History'!$A$6:$A$20000=$D18)*ROW('Inspection History'!$A$6:$A$20000))))&amp;""))</f>
        <v>J. Godek</v>
      </c>
    </row>
    <row r="19" customFormat="false" ht="14.25" hidden="false" customHeight="true" outlineLevel="0" collapsed="false">
      <c r="A19" s="23" t="s">
        <v>52</v>
      </c>
      <c r="B19" s="13" t="s">
        <v>171</v>
      </c>
      <c r="C19" s="24" t="s">
        <v>104</v>
      </c>
      <c r="D19" s="25" t="n">
        <f aca="false">IF(_xlfn.MAXIFS('Inspection History'!$A$6:$A$20000,'Inspection History'!$B$6:$B$20000,$A19,'Inspection History'!$C$6:$C$20000,"Monthly Insp",'Inspection History'!$D$6:$D$20000,"Pass")=0,"",_xlfn.MAXIFS('Inspection History'!$A$6:$A$20000,'Inspection History'!$B$6:$B$20000,$A19,'Inspection History'!$C$6:$C$20000,"Monthly Insp",'Inspection History'!$D$6:$D$20000,"Pass"))</f>
        <v>46321</v>
      </c>
      <c r="E19" s="25" t="n">
        <f aca="false">IF($D19="","",$D19+Intervals!$C$5)</f>
        <v>46351</v>
      </c>
      <c r="F19" s="25" t="n">
        <f aca="false">IF(_xlfn.MAXIFS('Inspection History'!$A$6:$A$20000,'Inspection History'!$B$6:$B$20000,$A19,'Inspection History'!$C$6:$C$20000,"Annual Maint",'Inspection History'!$D$6:$D$20000,"Pass")=0,"",_xlfn.MAXIFS('Inspection History'!$A$6:$A$20000,'Inspection History'!$B$6:$B$20000,$A19,'Inspection History'!$C$6:$C$20000,"Annual Maint",'Inspection History'!$D$6:$D$20000,"Pass"))</f>
        <v>46082</v>
      </c>
      <c r="G19" s="25" t="n">
        <f aca="false">IF($F19="","",EDATE($F19,Intervals!$C$6))</f>
        <v>46447</v>
      </c>
      <c r="H19" s="25" t="str">
        <f aca="false">IF(_xlfn.MAXIFS('Inspection History'!$A$6:$A$20000,'Inspection History'!$B$6:$B$20000,$A19,'Inspection History'!$C$6:$C$20000,"Internal Exam",'Inspection History'!$D$6:$D$20000,"Pass")=0,"",_xlfn.MAXIFS('Inspection History'!$A$6:$A$20000,'Inspection History'!$B$6:$B$20000,$A19,'Inspection History'!$C$6:$C$20000,"Internal Exam",'Inspection History'!$D$6:$D$20000,"Pass"))</f>
        <v/>
      </c>
      <c r="I19" s="25" t="n">
        <f aca="false">IF(OR($C19="",AND($H19="",$P19="")),"",EDATE(IF($H19="",$P19,$H19),12*INDEX(Intervals!$B$14:$B$18,MATCH($C19,Intervals!$A$14:$A$18,0))))</f>
        <v>48214</v>
      </c>
      <c r="J19" s="25" t="str">
        <f aca="false">IF(_xlfn.MAXIFS('Inspection History'!$A$6:$A$20000,'Inspection History'!$B$6:$B$20000,$A19,'Inspection History'!$C$6:$C$20000,"Hydro Test",'Inspection History'!$D$6:$D$20000,"Pass")=0,"",_xlfn.MAXIFS('Inspection History'!$A$6:$A$20000,'Inspection History'!$B$6:$B$20000,$A19,'Inspection History'!$C$6:$C$20000,"Hydro Test",'Inspection History'!$D$6:$D$20000,"Pass"))</f>
        <v/>
      </c>
      <c r="K19" s="25" t="n">
        <f aca="false">IF(OR($C19="",AND($J19="",$P19="")),"",EDATE(IF($J19="",$P19,$J19),12*INDEX(Intervals!$C$14:$C$18,MATCH($C19,Intervals!$A$14:$A$18,0))))</f>
        <v>50406</v>
      </c>
      <c r="L19" s="13" t="str">
        <f aca="false">IF(COUNT($E19,$G19,$I19,$K19)=0,"—",IF(MIN($E19,$G19,$I19,$K19)=$E19,"Monthly inspection",IF(MIN($E19,$G19,$I19,$K19)=$G19,"Annual maintenance",IF(MIN($E19,$G19,$I19,$K19)=$I19,"Internal exam","Hydrostatic test"))))</f>
        <v>Monthly inspection</v>
      </c>
      <c r="M19" s="26" t="n">
        <f aca="true">IF(COUNT($E19,$G19,$I19,$K19)=0,"",MIN($E19,$G19,$I19,$K19)-TODAY())</f>
        <v>30</v>
      </c>
      <c r="N19" s="23" t="str">
        <f aca="false">IF($M19="","NOT LOGGED",IF($M19&lt;=0,"OVERDUE",IF($M19&lt;=Intervals!$C$26,"DUE SOON","OK")))</f>
        <v>OK</v>
      </c>
      <c r="O19" s="24"/>
      <c r="P19" s="5" t="n">
        <v>46023</v>
      </c>
      <c r="Q19" s="27" t="str">
        <f aca="false">IF($D19="","",IF(SUMPRODUCT(MAX(('Inspection History'!$B$6:$B$20000=$A19)*('Inspection History'!$C$6:$C$20000="Monthly Insp")*('Inspection History'!$D$6:$D$20000="Pass")*('Inspection History'!$A$6:$A$20000=$D19)*ROW('Inspection History'!$A$6:$A$20000)))=0,"",INDEX('Inspection History'!$E:$E,SUMPRODUCT(MAX(('Inspection History'!$B$6:$B$20000=$A19)*('Inspection History'!$C$6:$C$20000="Monthly Insp")*('Inspection History'!$D$6:$D$20000="Pass")*('Inspection History'!$A$6:$A$20000=$D19)*ROW('Inspection History'!$A$6:$A$20000))))&amp;""))</f>
        <v>J. Godek</v>
      </c>
    </row>
    <row r="20" customFormat="false" ht="14.25" hidden="false" customHeight="true" outlineLevel="0" collapsed="false">
      <c r="A20" s="23" t="s">
        <v>53</v>
      </c>
      <c r="B20" s="13" t="s">
        <v>172</v>
      </c>
      <c r="C20" s="24" t="s">
        <v>104</v>
      </c>
      <c r="D20" s="25" t="n">
        <f aca="false">IF(_xlfn.MAXIFS('Inspection History'!$A$6:$A$20000,'Inspection History'!$B$6:$B$20000,$A20,'Inspection History'!$C$6:$C$20000,"Monthly Insp",'Inspection History'!$D$6:$D$20000,"Pass")=0,"",_xlfn.MAXIFS('Inspection History'!$A$6:$A$20000,'Inspection History'!$B$6:$B$20000,$A20,'Inspection History'!$C$6:$C$20000,"Monthly Insp",'Inspection History'!$D$6:$D$20000,"Pass"))</f>
        <v>46321</v>
      </c>
      <c r="E20" s="25" t="n">
        <f aca="false">IF($D20="","",$D20+Intervals!$C$5)</f>
        <v>46351</v>
      </c>
      <c r="F20" s="25" t="n">
        <f aca="false">IF(_xlfn.MAXIFS('Inspection History'!$A$6:$A$20000,'Inspection History'!$B$6:$B$20000,$A20,'Inspection History'!$C$6:$C$20000,"Annual Maint",'Inspection History'!$D$6:$D$20000,"Pass")=0,"",_xlfn.MAXIFS('Inspection History'!$A$6:$A$20000,'Inspection History'!$B$6:$B$20000,$A20,'Inspection History'!$C$6:$C$20000,"Annual Maint",'Inspection History'!$D$6:$D$20000,"Pass"))</f>
        <v>46082</v>
      </c>
      <c r="G20" s="25" t="n">
        <f aca="false">IF($F20="","",EDATE($F20,Intervals!$C$6))</f>
        <v>46447</v>
      </c>
      <c r="H20" s="25" t="str">
        <f aca="false">IF(_xlfn.MAXIFS('Inspection History'!$A$6:$A$20000,'Inspection History'!$B$6:$B$20000,$A20,'Inspection History'!$C$6:$C$20000,"Internal Exam",'Inspection History'!$D$6:$D$20000,"Pass")=0,"",_xlfn.MAXIFS('Inspection History'!$A$6:$A$20000,'Inspection History'!$B$6:$B$20000,$A20,'Inspection History'!$C$6:$C$20000,"Internal Exam",'Inspection History'!$D$6:$D$20000,"Pass"))</f>
        <v/>
      </c>
      <c r="I20" s="25" t="n">
        <f aca="false">IF(OR($C20="",AND($H20="",$P20="")),"",EDATE(IF($H20="",$P20,$H20),12*INDEX(Intervals!$B$14:$B$18,MATCH($C20,Intervals!$A$14:$A$18,0))))</f>
        <v>48214</v>
      </c>
      <c r="J20" s="25" t="str">
        <f aca="false">IF(_xlfn.MAXIFS('Inspection History'!$A$6:$A$20000,'Inspection History'!$B$6:$B$20000,$A20,'Inspection History'!$C$6:$C$20000,"Hydro Test",'Inspection History'!$D$6:$D$20000,"Pass")=0,"",_xlfn.MAXIFS('Inspection History'!$A$6:$A$20000,'Inspection History'!$B$6:$B$20000,$A20,'Inspection History'!$C$6:$C$20000,"Hydro Test",'Inspection History'!$D$6:$D$20000,"Pass"))</f>
        <v/>
      </c>
      <c r="K20" s="25" t="n">
        <f aca="false">IF(OR($C20="",AND($J20="",$P20="")),"",EDATE(IF($J20="",$P20,$J20),12*INDEX(Intervals!$C$14:$C$18,MATCH($C20,Intervals!$A$14:$A$18,0))))</f>
        <v>50406</v>
      </c>
      <c r="L20" s="13" t="str">
        <f aca="false">IF(COUNT($E20,$G20,$I20,$K20)=0,"—",IF(MIN($E20,$G20,$I20,$K20)=$E20,"Monthly inspection",IF(MIN($E20,$G20,$I20,$K20)=$G20,"Annual maintenance",IF(MIN($E20,$G20,$I20,$K20)=$I20,"Internal exam","Hydrostatic test"))))</f>
        <v>Monthly inspection</v>
      </c>
      <c r="M20" s="26" t="n">
        <f aca="true">IF(COUNT($E20,$G20,$I20,$K20)=0,"",MIN($E20,$G20,$I20,$K20)-TODAY())</f>
        <v>30</v>
      </c>
      <c r="N20" s="23" t="str">
        <f aca="false">IF($M20="","NOT LOGGED",IF($M20&lt;=0,"OVERDUE",IF($M20&lt;=Intervals!$C$26,"DUE SOON","OK")))</f>
        <v>OK</v>
      </c>
      <c r="O20" s="24"/>
      <c r="P20" s="5" t="n">
        <v>46023</v>
      </c>
      <c r="Q20" s="27" t="str">
        <f aca="false">IF($D20="","",IF(SUMPRODUCT(MAX(('Inspection History'!$B$6:$B$20000=$A20)*('Inspection History'!$C$6:$C$20000="Monthly Insp")*('Inspection History'!$D$6:$D$20000="Pass")*('Inspection History'!$A$6:$A$20000=$D20)*ROW('Inspection History'!$A$6:$A$20000)))=0,"",INDEX('Inspection History'!$E:$E,SUMPRODUCT(MAX(('Inspection History'!$B$6:$B$20000=$A20)*('Inspection History'!$C$6:$C$20000="Monthly Insp")*('Inspection History'!$D$6:$D$20000="Pass")*('Inspection History'!$A$6:$A$20000=$D20)*ROW('Inspection History'!$A$6:$A$20000))))&amp;""))</f>
        <v>J. Godek</v>
      </c>
    </row>
    <row r="21" customFormat="false" ht="14.25" hidden="false" customHeight="true" outlineLevel="0" collapsed="false">
      <c r="A21" s="23" t="s">
        <v>54</v>
      </c>
      <c r="B21" s="13" t="s">
        <v>173</v>
      </c>
      <c r="C21" s="24" t="s">
        <v>104</v>
      </c>
      <c r="D21" s="25" t="n">
        <f aca="false">IF(_xlfn.MAXIFS('Inspection History'!$A$6:$A$20000,'Inspection History'!$B$6:$B$20000,$A21,'Inspection History'!$C$6:$C$20000,"Monthly Insp",'Inspection History'!$D$6:$D$20000,"Pass")=0,"",_xlfn.MAXIFS('Inspection History'!$A$6:$A$20000,'Inspection History'!$B$6:$B$20000,$A21,'Inspection History'!$C$6:$C$20000,"Monthly Insp",'Inspection History'!$D$6:$D$20000,"Pass"))</f>
        <v>46321</v>
      </c>
      <c r="E21" s="25" t="n">
        <f aca="false">IF($D21="","",$D21+Intervals!$C$5)</f>
        <v>46351</v>
      </c>
      <c r="F21" s="25" t="n">
        <f aca="false">IF(_xlfn.MAXIFS('Inspection History'!$A$6:$A$20000,'Inspection History'!$B$6:$B$20000,$A21,'Inspection History'!$C$6:$C$20000,"Annual Maint",'Inspection History'!$D$6:$D$20000,"Pass")=0,"",_xlfn.MAXIFS('Inspection History'!$A$6:$A$20000,'Inspection History'!$B$6:$B$20000,$A21,'Inspection History'!$C$6:$C$20000,"Annual Maint",'Inspection History'!$D$6:$D$20000,"Pass"))</f>
        <v>46082</v>
      </c>
      <c r="G21" s="25" t="n">
        <f aca="false">IF($F21="","",EDATE($F21,Intervals!$C$6))</f>
        <v>46447</v>
      </c>
      <c r="H21" s="25" t="str">
        <f aca="false">IF(_xlfn.MAXIFS('Inspection History'!$A$6:$A$20000,'Inspection History'!$B$6:$B$20000,$A21,'Inspection History'!$C$6:$C$20000,"Internal Exam",'Inspection History'!$D$6:$D$20000,"Pass")=0,"",_xlfn.MAXIFS('Inspection History'!$A$6:$A$20000,'Inspection History'!$B$6:$B$20000,$A21,'Inspection History'!$C$6:$C$20000,"Internal Exam",'Inspection History'!$D$6:$D$20000,"Pass"))</f>
        <v/>
      </c>
      <c r="I21" s="25" t="n">
        <f aca="false">IF(OR($C21="",AND($H21="",$P21="")),"",EDATE(IF($H21="",$P21,$H21),12*INDEX(Intervals!$B$14:$B$18,MATCH($C21,Intervals!$A$14:$A$18,0))))</f>
        <v>48214</v>
      </c>
      <c r="J21" s="25" t="str">
        <f aca="false">IF(_xlfn.MAXIFS('Inspection History'!$A$6:$A$20000,'Inspection History'!$B$6:$B$20000,$A21,'Inspection History'!$C$6:$C$20000,"Hydro Test",'Inspection History'!$D$6:$D$20000,"Pass")=0,"",_xlfn.MAXIFS('Inspection History'!$A$6:$A$20000,'Inspection History'!$B$6:$B$20000,$A21,'Inspection History'!$C$6:$C$20000,"Hydro Test",'Inspection History'!$D$6:$D$20000,"Pass"))</f>
        <v/>
      </c>
      <c r="K21" s="25" t="n">
        <f aca="false">IF(OR($C21="",AND($J21="",$P21="")),"",EDATE(IF($J21="",$P21,$J21),12*INDEX(Intervals!$C$14:$C$18,MATCH($C21,Intervals!$A$14:$A$18,0))))</f>
        <v>50406</v>
      </c>
      <c r="L21" s="13" t="str">
        <f aca="false">IF(COUNT($E21,$G21,$I21,$K21)=0,"—",IF(MIN($E21,$G21,$I21,$K21)=$E21,"Monthly inspection",IF(MIN($E21,$G21,$I21,$K21)=$G21,"Annual maintenance",IF(MIN($E21,$G21,$I21,$K21)=$I21,"Internal exam","Hydrostatic test"))))</f>
        <v>Monthly inspection</v>
      </c>
      <c r="M21" s="26" t="n">
        <f aca="true">IF(COUNT($E21,$G21,$I21,$K21)=0,"",MIN($E21,$G21,$I21,$K21)-TODAY())</f>
        <v>30</v>
      </c>
      <c r="N21" s="23" t="str">
        <f aca="false">IF($M21="","NOT LOGGED",IF($M21&lt;=0,"OVERDUE",IF($M21&lt;=Intervals!$C$26,"DUE SOON","OK")))</f>
        <v>OK</v>
      </c>
      <c r="O21" s="24"/>
      <c r="P21" s="5" t="n">
        <v>46023</v>
      </c>
      <c r="Q21" s="27" t="str">
        <f aca="false">IF($D21="","",IF(SUMPRODUCT(MAX(('Inspection History'!$B$6:$B$20000=$A21)*('Inspection History'!$C$6:$C$20000="Monthly Insp")*('Inspection History'!$D$6:$D$20000="Pass")*('Inspection History'!$A$6:$A$20000=$D21)*ROW('Inspection History'!$A$6:$A$20000)))=0,"",INDEX('Inspection History'!$E:$E,SUMPRODUCT(MAX(('Inspection History'!$B$6:$B$20000=$A21)*('Inspection History'!$C$6:$C$20000="Monthly Insp")*('Inspection History'!$D$6:$D$20000="Pass")*('Inspection History'!$A$6:$A$20000=$D21)*ROW('Inspection History'!$A$6:$A$20000))))&amp;""))</f>
        <v>J. Godek</v>
      </c>
    </row>
    <row r="22" customFormat="false" ht="14.25" hidden="false" customHeight="true" outlineLevel="0" collapsed="false">
      <c r="A22" s="23" t="s">
        <v>55</v>
      </c>
      <c r="B22" s="13" t="s">
        <v>174</v>
      </c>
      <c r="C22" s="24" t="s">
        <v>104</v>
      </c>
      <c r="D22" s="25" t="n">
        <f aca="false">IF(_xlfn.MAXIFS('Inspection History'!$A$6:$A$20000,'Inspection History'!$B$6:$B$20000,$A22,'Inspection History'!$C$6:$C$20000,"Monthly Insp",'Inspection History'!$D$6:$D$20000,"Pass")=0,"",_xlfn.MAXIFS('Inspection History'!$A$6:$A$20000,'Inspection History'!$B$6:$B$20000,$A22,'Inspection History'!$C$6:$C$20000,"Monthly Insp",'Inspection History'!$D$6:$D$20000,"Pass"))</f>
        <v>46321</v>
      </c>
      <c r="E22" s="25" t="n">
        <f aca="false">IF($D22="","",$D22+Intervals!$C$5)</f>
        <v>46351</v>
      </c>
      <c r="F22" s="25" t="n">
        <f aca="false">IF(_xlfn.MAXIFS('Inspection History'!$A$6:$A$20000,'Inspection History'!$B$6:$B$20000,$A22,'Inspection History'!$C$6:$C$20000,"Annual Maint",'Inspection History'!$D$6:$D$20000,"Pass")=0,"",_xlfn.MAXIFS('Inspection History'!$A$6:$A$20000,'Inspection History'!$B$6:$B$20000,$A22,'Inspection History'!$C$6:$C$20000,"Annual Maint",'Inspection History'!$D$6:$D$20000,"Pass"))</f>
        <v>46082</v>
      </c>
      <c r="G22" s="25" t="n">
        <f aca="false">IF($F22="","",EDATE($F22,Intervals!$C$6))</f>
        <v>46447</v>
      </c>
      <c r="H22" s="25" t="str">
        <f aca="false">IF(_xlfn.MAXIFS('Inspection History'!$A$6:$A$20000,'Inspection History'!$B$6:$B$20000,$A22,'Inspection History'!$C$6:$C$20000,"Internal Exam",'Inspection History'!$D$6:$D$20000,"Pass")=0,"",_xlfn.MAXIFS('Inspection History'!$A$6:$A$20000,'Inspection History'!$B$6:$B$20000,$A22,'Inspection History'!$C$6:$C$20000,"Internal Exam",'Inspection History'!$D$6:$D$20000,"Pass"))</f>
        <v/>
      </c>
      <c r="I22" s="25" t="n">
        <f aca="false">IF(OR($C22="",AND($H22="",$P22="")),"",EDATE(IF($H22="",$P22,$H22),12*INDEX(Intervals!$B$14:$B$18,MATCH($C22,Intervals!$A$14:$A$18,0))))</f>
        <v>48214</v>
      </c>
      <c r="J22" s="25" t="str">
        <f aca="false">IF(_xlfn.MAXIFS('Inspection History'!$A$6:$A$20000,'Inspection History'!$B$6:$B$20000,$A22,'Inspection History'!$C$6:$C$20000,"Hydro Test",'Inspection History'!$D$6:$D$20000,"Pass")=0,"",_xlfn.MAXIFS('Inspection History'!$A$6:$A$20000,'Inspection History'!$B$6:$B$20000,$A22,'Inspection History'!$C$6:$C$20000,"Hydro Test",'Inspection History'!$D$6:$D$20000,"Pass"))</f>
        <v/>
      </c>
      <c r="K22" s="25" t="n">
        <f aca="false">IF(OR($C22="",AND($J22="",$P22="")),"",EDATE(IF($J22="",$P22,$J22),12*INDEX(Intervals!$C$14:$C$18,MATCH($C22,Intervals!$A$14:$A$18,0))))</f>
        <v>50406</v>
      </c>
      <c r="L22" s="13" t="str">
        <f aca="false">IF(COUNT($E22,$G22,$I22,$K22)=0,"—",IF(MIN($E22,$G22,$I22,$K22)=$E22,"Monthly inspection",IF(MIN($E22,$G22,$I22,$K22)=$G22,"Annual maintenance",IF(MIN($E22,$G22,$I22,$K22)=$I22,"Internal exam","Hydrostatic test"))))</f>
        <v>Monthly inspection</v>
      </c>
      <c r="M22" s="26" t="n">
        <f aca="true">IF(COUNT($E22,$G22,$I22,$K22)=0,"",MIN($E22,$G22,$I22,$K22)-TODAY())</f>
        <v>30</v>
      </c>
      <c r="N22" s="23" t="str">
        <f aca="false">IF($M22="","NOT LOGGED",IF($M22&lt;=0,"OVERDUE",IF($M22&lt;=Intervals!$C$26,"DUE SOON","OK")))</f>
        <v>OK</v>
      </c>
      <c r="O22" s="24"/>
      <c r="P22" s="5" t="n">
        <v>46023</v>
      </c>
      <c r="Q22" s="27" t="str">
        <f aca="false">IF($D22="","",IF(SUMPRODUCT(MAX(('Inspection History'!$B$6:$B$20000=$A22)*('Inspection History'!$C$6:$C$20000="Monthly Insp")*('Inspection History'!$D$6:$D$20000="Pass")*('Inspection History'!$A$6:$A$20000=$D22)*ROW('Inspection History'!$A$6:$A$20000)))=0,"",INDEX('Inspection History'!$E:$E,SUMPRODUCT(MAX(('Inspection History'!$B$6:$B$20000=$A22)*('Inspection History'!$C$6:$C$20000="Monthly Insp")*('Inspection History'!$D$6:$D$20000="Pass")*('Inspection History'!$A$6:$A$20000=$D22)*ROW('Inspection History'!$A$6:$A$20000))))&amp;""))</f>
        <v>J. Godek</v>
      </c>
    </row>
    <row r="23" customFormat="false" ht="14.25" hidden="false" customHeight="true" outlineLevel="0" collapsed="false">
      <c r="A23" s="23" t="s">
        <v>56</v>
      </c>
      <c r="B23" s="13" t="s">
        <v>175</v>
      </c>
      <c r="C23" s="24" t="s">
        <v>104</v>
      </c>
      <c r="D23" s="25" t="n">
        <f aca="false">IF(_xlfn.MAXIFS('Inspection History'!$A$6:$A$20000,'Inspection History'!$B$6:$B$20000,$A23,'Inspection History'!$C$6:$C$20000,"Monthly Insp",'Inspection History'!$D$6:$D$20000,"Pass")=0,"",_xlfn.MAXIFS('Inspection History'!$A$6:$A$20000,'Inspection History'!$B$6:$B$20000,$A23,'Inspection History'!$C$6:$C$20000,"Monthly Insp",'Inspection History'!$D$6:$D$20000,"Pass"))</f>
        <v>46321</v>
      </c>
      <c r="E23" s="25" t="n">
        <f aca="false">IF($D23="","",$D23+Intervals!$C$5)</f>
        <v>46351</v>
      </c>
      <c r="F23" s="25" t="n">
        <f aca="false">IF(_xlfn.MAXIFS('Inspection History'!$A$6:$A$20000,'Inspection History'!$B$6:$B$20000,$A23,'Inspection History'!$C$6:$C$20000,"Annual Maint",'Inspection History'!$D$6:$D$20000,"Pass")=0,"",_xlfn.MAXIFS('Inspection History'!$A$6:$A$20000,'Inspection History'!$B$6:$B$20000,$A23,'Inspection History'!$C$6:$C$20000,"Annual Maint",'Inspection History'!$D$6:$D$20000,"Pass"))</f>
        <v>46082</v>
      </c>
      <c r="G23" s="25" t="n">
        <f aca="false">IF($F23="","",EDATE($F23,Intervals!$C$6))</f>
        <v>46447</v>
      </c>
      <c r="H23" s="25" t="str">
        <f aca="false">IF(_xlfn.MAXIFS('Inspection History'!$A$6:$A$20000,'Inspection History'!$B$6:$B$20000,$A23,'Inspection History'!$C$6:$C$20000,"Internal Exam",'Inspection History'!$D$6:$D$20000,"Pass")=0,"",_xlfn.MAXIFS('Inspection History'!$A$6:$A$20000,'Inspection History'!$B$6:$B$20000,$A23,'Inspection History'!$C$6:$C$20000,"Internal Exam",'Inspection History'!$D$6:$D$20000,"Pass"))</f>
        <v/>
      </c>
      <c r="I23" s="25" t="n">
        <f aca="false">IF(OR($C23="",AND($H23="",$P23="")),"",EDATE(IF($H23="",$P23,$H23),12*INDEX(Intervals!$B$14:$B$18,MATCH($C23,Intervals!$A$14:$A$18,0))))</f>
        <v>48214</v>
      </c>
      <c r="J23" s="25" t="str">
        <f aca="false">IF(_xlfn.MAXIFS('Inspection History'!$A$6:$A$20000,'Inspection History'!$B$6:$B$20000,$A23,'Inspection History'!$C$6:$C$20000,"Hydro Test",'Inspection History'!$D$6:$D$20000,"Pass")=0,"",_xlfn.MAXIFS('Inspection History'!$A$6:$A$20000,'Inspection History'!$B$6:$B$20000,$A23,'Inspection History'!$C$6:$C$20000,"Hydro Test",'Inspection History'!$D$6:$D$20000,"Pass"))</f>
        <v/>
      </c>
      <c r="K23" s="25" t="n">
        <f aca="false">IF(OR($C23="",AND($J23="",$P23="")),"",EDATE(IF($J23="",$P23,$J23),12*INDEX(Intervals!$C$14:$C$18,MATCH($C23,Intervals!$A$14:$A$18,0))))</f>
        <v>50406</v>
      </c>
      <c r="L23" s="13" t="str">
        <f aca="false">IF(COUNT($E23,$G23,$I23,$K23)=0,"—",IF(MIN($E23,$G23,$I23,$K23)=$E23,"Monthly inspection",IF(MIN($E23,$G23,$I23,$K23)=$G23,"Annual maintenance",IF(MIN($E23,$G23,$I23,$K23)=$I23,"Internal exam","Hydrostatic test"))))</f>
        <v>Monthly inspection</v>
      </c>
      <c r="M23" s="26" t="n">
        <f aca="true">IF(COUNT($E23,$G23,$I23,$K23)=0,"",MIN($E23,$G23,$I23,$K23)-TODAY())</f>
        <v>30</v>
      </c>
      <c r="N23" s="23" t="str">
        <f aca="false">IF($M23="","NOT LOGGED",IF($M23&lt;=0,"OVERDUE",IF($M23&lt;=Intervals!$C$26,"DUE SOON","OK")))</f>
        <v>OK</v>
      </c>
      <c r="O23" s="24"/>
      <c r="P23" s="5" t="n">
        <v>46023</v>
      </c>
      <c r="Q23" s="27" t="str">
        <f aca="false">IF($D23="","",IF(SUMPRODUCT(MAX(('Inspection History'!$B$6:$B$20000=$A23)*('Inspection History'!$C$6:$C$20000="Monthly Insp")*('Inspection History'!$D$6:$D$20000="Pass")*('Inspection History'!$A$6:$A$20000=$D23)*ROW('Inspection History'!$A$6:$A$20000)))=0,"",INDEX('Inspection History'!$E:$E,SUMPRODUCT(MAX(('Inspection History'!$B$6:$B$20000=$A23)*('Inspection History'!$C$6:$C$20000="Monthly Insp")*('Inspection History'!$D$6:$D$20000="Pass")*('Inspection History'!$A$6:$A$20000=$D23)*ROW('Inspection History'!$A$6:$A$20000))))&amp;""))</f>
        <v>J. Godek</v>
      </c>
    </row>
    <row r="24" customFormat="false" ht="14.25" hidden="false" customHeight="true" outlineLevel="0" collapsed="false">
      <c r="A24" s="23" t="s">
        <v>57</v>
      </c>
      <c r="B24" s="13" t="s">
        <v>176</v>
      </c>
      <c r="C24" s="24" t="s">
        <v>104</v>
      </c>
      <c r="D24" s="25" t="n">
        <f aca="false">IF(_xlfn.MAXIFS('Inspection History'!$A$6:$A$20000,'Inspection History'!$B$6:$B$20000,$A24,'Inspection History'!$C$6:$C$20000,"Monthly Insp",'Inspection History'!$D$6:$D$20000,"Pass")=0,"",_xlfn.MAXIFS('Inspection History'!$A$6:$A$20000,'Inspection History'!$B$6:$B$20000,$A24,'Inspection History'!$C$6:$C$20000,"Monthly Insp",'Inspection History'!$D$6:$D$20000,"Pass"))</f>
        <v>46321</v>
      </c>
      <c r="E24" s="25" t="n">
        <f aca="false">IF($D24="","",$D24+Intervals!$C$5)</f>
        <v>46351</v>
      </c>
      <c r="F24" s="25" t="n">
        <f aca="false">IF(_xlfn.MAXIFS('Inspection History'!$A$6:$A$20000,'Inspection History'!$B$6:$B$20000,$A24,'Inspection History'!$C$6:$C$20000,"Annual Maint",'Inspection History'!$D$6:$D$20000,"Pass")=0,"",_xlfn.MAXIFS('Inspection History'!$A$6:$A$20000,'Inspection History'!$B$6:$B$20000,$A24,'Inspection History'!$C$6:$C$20000,"Annual Maint",'Inspection History'!$D$6:$D$20000,"Pass"))</f>
        <v>46082</v>
      </c>
      <c r="G24" s="25" t="n">
        <f aca="false">IF($F24="","",EDATE($F24,Intervals!$C$6))</f>
        <v>46447</v>
      </c>
      <c r="H24" s="25" t="str">
        <f aca="false">IF(_xlfn.MAXIFS('Inspection History'!$A$6:$A$20000,'Inspection History'!$B$6:$B$20000,$A24,'Inspection History'!$C$6:$C$20000,"Internal Exam",'Inspection History'!$D$6:$D$20000,"Pass")=0,"",_xlfn.MAXIFS('Inspection History'!$A$6:$A$20000,'Inspection History'!$B$6:$B$20000,$A24,'Inspection History'!$C$6:$C$20000,"Internal Exam",'Inspection History'!$D$6:$D$20000,"Pass"))</f>
        <v/>
      </c>
      <c r="I24" s="25" t="n">
        <f aca="false">IF(OR($C24="",AND($H24="",$P24="")),"",EDATE(IF($H24="",$P24,$H24),12*INDEX(Intervals!$B$14:$B$18,MATCH($C24,Intervals!$A$14:$A$18,0))))</f>
        <v>48214</v>
      </c>
      <c r="J24" s="25" t="str">
        <f aca="false">IF(_xlfn.MAXIFS('Inspection History'!$A$6:$A$20000,'Inspection History'!$B$6:$B$20000,$A24,'Inspection History'!$C$6:$C$20000,"Hydro Test",'Inspection History'!$D$6:$D$20000,"Pass")=0,"",_xlfn.MAXIFS('Inspection History'!$A$6:$A$20000,'Inspection History'!$B$6:$B$20000,$A24,'Inspection History'!$C$6:$C$20000,"Hydro Test",'Inspection History'!$D$6:$D$20000,"Pass"))</f>
        <v/>
      </c>
      <c r="K24" s="25" t="n">
        <f aca="false">IF(OR($C24="",AND($J24="",$P24="")),"",EDATE(IF($J24="",$P24,$J24),12*INDEX(Intervals!$C$14:$C$18,MATCH($C24,Intervals!$A$14:$A$18,0))))</f>
        <v>50406</v>
      </c>
      <c r="L24" s="13" t="str">
        <f aca="false">IF(COUNT($E24,$G24,$I24,$K24)=0,"—",IF(MIN($E24,$G24,$I24,$K24)=$E24,"Monthly inspection",IF(MIN($E24,$G24,$I24,$K24)=$G24,"Annual maintenance",IF(MIN($E24,$G24,$I24,$K24)=$I24,"Internal exam","Hydrostatic test"))))</f>
        <v>Monthly inspection</v>
      </c>
      <c r="M24" s="26" t="n">
        <f aca="true">IF(COUNT($E24,$G24,$I24,$K24)=0,"",MIN($E24,$G24,$I24,$K24)-TODAY())</f>
        <v>30</v>
      </c>
      <c r="N24" s="23" t="str">
        <f aca="false">IF($M24="","NOT LOGGED",IF($M24&lt;=0,"OVERDUE",IF($M24&lt;=Intervals!$C$26,"DUE SOON","OK")))</f>
        <v>OK</v>
      </c>
      <c r="O24" s="24"/>
      <c r="P24" s="5" t="n">
        <v>46023</v>
      </c>
      <c r="Q24" s="27" t="str">
        <f aca="false">IF($D24="","",IF(SUMPRODUCT(MAX(('Inspection History'!$B$6:$B$20000=$A24)*('Inspection History'!$C$6:$C$20000="Monthly Insp")*('Inspection History'!$D$6:$D$20000="Pass")*('Inspection History'!$A$6:$A$20000=$D24)*ROW('Inspection History'!$A$6:$A$20000)))=0,"",INDEX('Inspection History'!$E:$E,SUMPRODUCT(MAX(('Inspection History'!$B$6:$B$20000=$A24)*('Inspection History'!$C$6:$C$20000="Monthly Insp")*('Inspection History'!$D$6:$D$20000="Pass")*('Inspection History'!$A$6:$A$20000=$D24)*ROW('Inspection History'!$A$6:$A$20000))))&amp;""))</f>
        <v>J. Godek</v>
      </c>
    </row>
    <row r="25" customFormat="false" ht="14.25" hidden="false" customHeight="true" outlineLevel="0" collapsed="false">
      <c r="A25" s="23" t="s">
        <v>58</v>
      </c>
      <c r="B25" s="13" t="s">
        <v>177</v>
      </c>
      <c r="C25" s="24" t="s">
        <v>104</v>
      </c>
      <c r="D25" s="25" t="n">
        <f aca="false">IF(_xlfn.MAXIFS('Inspection History'!$A$6:$A$20000,'Inspection History'!$B$6:$B$20000,$A25,'Inspection History'!$C$6:$C$20000,"Monthly Insp",'Inspection History'!$D$6:$D$20000,"Pass")=0,"",_xlfn.MAXIFS('Inspection History'!$A$6:$A$20000,'Inspection History'!$B$6:$B$20000,$A25,'Inspection History'!$C$6:$C$20000,"Monthly Insp",'Inspection History'!$D$6:$D$20000,"Pass"))</f>
        <v>46321</v>
      </c>
      <c r="E25" s="25" t="n">
        <f aca="false">IF($D25="","",$D25+Intervals!$C$5)</f>
        <v>46351</v>
      </c>
      <c r="F25" s="25" t="n">
        <f aca="false">IF(_xlfn.MAXIFS('Inspection History'!$A$6:$A$20000,'Inspection History'!$B$6:$B$20000,$A25,'Inspection History'!$C$6:$C$20000,"Annual Maint",'Inspection History'!$D$6:$D$20000,"Pass")=0,"",_xlfn.MAXIFS('Inspection History'!$A$6:$A$20000,'Inspection History'!$B$6:$B$20000,$A25,'Inspection History'!$C$6:$C$20000,"Annual Maint",'Inspection History'!$D$6:$D$20000,"Pass"))</f>
        <v>46082</v>
      </c>
      <c r="G25" s="25" t="n">
        <f aca="false">IF($F25="","",EDATE($F25,Intervals!$C$6))</f>
        <v>46447</v>
      </c>
      <c r="H25" s="25" t="str">
        <f aca="false">IF(_xlfn.MAXIFS('Inspection History'!$A$6:$A$20000,'Inspection History'!$B$6:$B$20000,$A25,'Inspection History'!$C$6:$C$20000,"Internal Exam",'Inspection History'!$D$6:$D$20000,"Pass")=0,"",_xlfn.MAXIFS('Inspection History'!$A$6:$A$20000,'Inspection History'!$B$6:$B$20000,$A25,'Inspection History'!$C$6:$C$20000,"Internal Exam",'Inspection History'!$D$6:$D$20000,"Pass"))</f>
        <v/>
      </c>
      <c r="I25" s="25" t="n">
        <f aca="false">IF(OR($C25="",AND($H25="",$P25="")),"",EDATE(IF($H25="",$P25,$H25),12*INDEX(Intervals!$B$14:$B$18,MATCH($C25,Intervals!$A$14:$A$18,0))))</f>
        <v>48214</v>
      </c>
      <c r="J25" s="25" t="str">
        <f aca="false">IF(_xlfn.MAXIFS('Inspection History'!$A$6:$A$20000,'Inspection History'!$B$6:$B$20000,$A25,'Inspection History'!$C$6:$C$20000,"Hydro Test",'Inspection History'!$D$6:$D$20000,"Pass")=0,"",_xlfn.MAXIFS('Inspection History'!$A$6:$A$20000,'Inspection History'!$B$6:$B$20000,$A25,'Inspection History'!$C$6:$C$20000,"Hydro Test",'Inspection History'!$D$6:$D$20000,"Pass"))</f>
        <v/>
      </c>
      <c r="K25" s="25" t="n">
        <f aca="false">IF(OR($C25="",AND($J25="",$P25="")),"",EDATE(IF($J25="",$P25,$J25),12*INDEX(Intervals!$C$14:$C$18,MATCH($C25,Intervals!$A$14:$A$18,0))))</f>
        <v>50406</v>
      </c>
      <c r="L25" s="13" t="str">
        <f aca="false">IF(COUNT($E25,$G25,$I25,$K25)=0,"—",IF(MIN($E25,$G25,$I25,$K25)=$E25,"Monthly inspection",IF(MIN($E25,$G25,$I25,$K25)=$G25,"Annual maintenance",IF(MIN($E25,$G25,$I25,$K25)=$I25,"Internal exam","Hydrostatic test"))))</f>
        <v>Monthly inspection</v>
      </c>
      <c r="M25" s="26" t="n">
        <f aca="true">IF(COUNT($E25,$G25,$I25,$K25)=0,"",MIN($E25,$G25,$I25,$K25)-TODAY())</f>
        <v>30</v>
      </c>
      <c r="N25" s="23" t="str">
        <f aca="false">IF($M25="","NOT LOGGED",IF($M25&lt;=0,"OVERDUE",IF($M25&lt;=Intervals!$C$26,"DUE SOON","OK")))</f>
        <v>OK</v>
      </c>
      <c r="O25" s="24"/>
      <c r="P25" s="5" t="n">
        <v>46023</v>
      </c>
      <c r="Q25" s="27" t="str">
        <f aca="false">IF($D25="","",IF(SUMPRODUCT(MAX(('Inspection History'!$B$6:$B$20000=$A25)*('Inspection History'!$C$6:$C$20000="Monthly Insp")*('Inspection History'!$D$6:$D$20000="Pass")*('Inspection History'!$A$6:$A$20000=$D25)*ROW('Inspection History'!$A$6:$A$20000)))=0,"",INDEX('Inspection History'!$E:$E,SUMPRODUCT(MAX(('Inspection History'!$B$6:$B$20000=$A25)*('Inspection History'!$C$6:$C$20000="Monthly Insp")*('Inspection History'!$D$6:$D$20000="Pass")*('Inspection History'!$A$6:$A$20000=$D25)*ROW('Inspection History'!$A$6:$A$20000))))&amp;""))</f>
        <v>J. Godek</v>
      </c>
    </row>
    <row r="26" customFormat="false" ht="14.25" hidden="false" customHeight="true" outlineLevel="0" collapsed="false">
      <c r="A26" s="28" t="s">
        <v>59</v>
      </c>
      <c r="B26" s="29" t="s">
        <v>178</v>
      </c>
      <c r="C26" s="24" t="s">
        <v>104</v>
      </c>
      <c r="D26" s="25" t="n">
        <f aca="false">IF(_xlfn.MAXIFS('Inspection History'!$A$6:$A$20000,'Inspection History'!$B$6:$B$20000,$A26,'Inspection History'!$C$6:$C$20000,"Monthly Insp",'Inspection History'!$D$6:$D$20000,"Pass")=0,"",_xlfn.MAXIFS('Inspection History'!$A$6:$A$20000,'Inspection History'!$B$6:$B$20000,$A26,'Inspection History'!$C$6:$C$20000,"Monthly Insp",'Inspection History'!$D$6:$D$20000,"Pass"))</f>
        <v>46321</v>
      </c>
      <c r="E26" s="25" t="n">
        <f aca="false">IF($D26="","",$D26+Intervals!$C$5)</f>
        <v>46351</v>
      </c>
      <c r="F26" s="25" t="n">
        <f aca="false">IF(_xlfn.MAXIFS('Inspection History'!$A$6:$A$20000,'Inspection History'!$B$6:$B$20000,$A26,'Inspection History'!$C$6:$C$20000,"Annual Maint",'Inspection History'!$D$6:$D$20000,"Pass")=0,"",_xlfn.MAXIFS('Inspection History'!$A$6:$A$20000,'Inspection History'!$B$6:$B$20000,$A26,'Inspection History'!$C$6:$C$20000,"Annual Maint",'Inspection History'!$D$6:$D$20000,"Pass"))</f>
        <v>46082</v>
      </c>
      <c r="G26" s="25" t="n">
        <f aca="false">IF($F26="","",EDATE($F26,Intervals!$C$6))</f>
        <v>46447</v>
      </c>
      <c r="H26" s="25" t="str">
        <f aca="false">IF(_xlfn.MAXIFS('Inspection History'!$A$6:$A$20000,'Inspection History'!$B$6:$B$20000,$A26,'Inspection History'!$C$6:$C$20000,"Internal Exam",'Inspection History'!$D$6:$D$20000,"Pass")=0,"",_xlfn.MAXIFS('Inspection History'!$A$6:$A$20000,'Inspection History'!$B$6:$B$20000,$A26,'Inspection History'!$C$6:$C$20000,"Internal Exam",'Inspection History'!$D$6:$D$20000,"Pass"))</f>
        <v/>
      </c>
      <c r="I26" s="25" t="n">
        <f aca="false">IF(OR($C26="",AND($H26="",$P26="")),"",EDATE(IF($H26="",$P26,$H26),12*INDEX(Intervals!$B$14:$B$18,MATCH($C26,Intervals!$A$14:$A$18,0))))</f>
        <v>48214</v>
      </c>
      <c r="J26" s="25" t="str">
        <f aca="false">IF(_xlfn.MAXIFS('Inspection History'!$A$6:$A$20000,'Inspection History'!$B$6:$B$20000,$A26,'Inspection History'!$C$6:$C$20000,"Hydro Test",'Inspection History'!$D$6:$D$20000,"Pass")=0,"",_xlfn.MAXIFS('Inspection History'!$A$6:$A$20000,'Inspection History'!$B$6:$B$20000,$A26,'Inspection History'!$C$6:$C$20000,"Hydro Test",'Inspection History'!$D$6:$D$20000,"Pass"))</f>
        <v/>
      </c>
      <c r="K26" s="25" t="n">
        <f aca="false">IF(OR($C26="",AND($J26="",$P26="")),"",EDATE(IF($J26="",$P26,$J26),12*INDEX(Intervals!$C$14:$C$18,MATCH($C26,Intervals!$A$14:$A$18,0))))</f>
        <v>50406</v>
      </c>
      <c r="L26" s="13" t="str">
        <f aca="false">IF(COUNT($E26,$G26,$I26,$K26)=0,"—",IF(MIN($E26,$G26,$I26,$K26)=$E26,"Monthly inspection",IF(MIN($E26,$G26,$I26,$K26)=$G26,"Annual maintenance",IF(MIN($E26,$G26,$I26,$K26)=$I26,"Internal exam","Hydrostatic test"))))</f>
        <v>Monthly inspection</v>
      </c>
      <c r="M26" s="26" t="n">
        <f aca="true">IF(COUNT($E26,$G26,$I26,$K26)=0,"",MIN($E26,$G26,$I26,$K26)-TODAY())</f>
        <v>30</v>
      </c>
      <c r="N26" s="23" t="str">
        <f aca="false">IF($M26="","NOT LOGGED",IF($M26&lt;=0,"OVERDUE",IF($M26&lt;=Intervals!$C$26,"DUE SOON","OK")))</f>
        <v>OK</v>
      </c>
      <c r="O26" s="24"/>
      <c r="P26" s="5" t="n">
        <v>46023</v>
      </c>
      <c r="Q26" s="27" t="str">
        <f aca="false">IF($D26="","",IF(SUMPRODUCT(MAX(('Inspection History'!$B$6:$B$20000=$A26)*('Inspection History'!$C$6:$C$20000="Monthly Insp")*('Inspection History'!$D$6:$D$20000="Pass")*('Inspection History'!$A$6:$A$20000=$D26)*ROW('Inspection History'!$A$6:$A$20000)))=0,"",INDEX('Inspection History'!$E:$E,SUMPRODUCT(MAX(('Inspection History'!$B$6:$B$20000=$A26)*('Inspection History'!$C$6:$C$20000="Monthly Insp")*('Inspection History'!$D$6:$D$20000="Pass")*('Inspection History'!$A$6:$A$20000=$D26)*ROW('Inspection History'!$A$6:$A$20000))))&amp;""))</f>
        <v>J. Godek</v>
      </c>
    </row>
    <row r="28" customFormat="false" ht="14.25" hidden="false" customHeight="true" outlineLevel="0" collapsed="false">
      <c r="A28" s="17" t="s">
        <v>179</v>
      </c>
    </row>
    <row r="29" customFormat="false" ht="14.25" hidden="false" customHeight="true" outlineLevel="0" collapsed="false">
      <c r="A29" s="17" t="s">
        <v>180</v>
      </c>
    </row>
  </sheetData>
  <mergeCells count="3">
    <mergeCell ref="A1:Q1"/>
    <mergeCell ref="A2:Q2"/>
    <mergeCell ref="A3:Q3"/>
  </mergeCells>
  <conditionalFormatting sqref="N6:N26">
    <cfRule type="cellIs" priority="2" operator="equal" aboveAverage="0" equalAverage="0" bottom="0" percent="0" rank="0" text="" dxfId="1">
      <formula>"OK"</formula>
    </cfRule>
    <cfRule type="cellIs" priority="3" operator="equal" aboveAverage="0" equalAverage="0" bottom="0" percent="0" rank="0" text="" dxfId="2">
      <formula>"DUE SOON"</formula>
    </cfRule>
    <cfRule type="cellIs" priority="4" operator="equal" aboveAverage="0" equalAverage="0" bottom="0" percent="0" rank="0" text="" dxfId="3">
      <formula>"OVERDUE"</formula>
    </cfRule>
    <cfRule type="cellIs" priority="5" operator="equal" aboveAverage="0" equalAverage="0" bottom="0" percent="0" rank="0" text="" dxfId="4">
      <formula>"NOT LOGGED"</formula>
    </cfRule>
  </conditionalFormatting>
  <conditionalFormatting sqref="E6:E26">
    <cfRule type="expression" priority="6" aboveAverage="0" equalAverage="0" bottom="0" percent="0" rank="0" text="" dxfId="3">
      <formula>AND(ISNUMBER(E6),E6&lt;=TODAY())</formula>
    </cfRule>
    <cfRule type="expression" priority="7" aboveAverage="0" equalAverage="0" bottom="0" percent="0" rank="0" text="" dxfId="2">
      <formula>AND(ISNUMBER(E6),E6&lt;=TODAY()+60)</formula>
    </cfRule>
  </conditionalFormatting>
  <conditionalFormatting sqref="G6:G26">
    <cfRule type="expression" priority="8" aboveAverage="0" equalAverage="0" bottom="0" percent="0" rank="0" text="" dxfId="3">
      <formula>AND(ISNUMBER(G6),G6&lt;=TODAY())</formula>
    </cfRule>
    <cfRule type="expression" priority="9" aboveAverage="0" equalAverage="0" bottom="0" percent="0" rank="0" text="" dxfId="2">
      <formula>AND(ISNUMBER(G6),G6&lt;=TODAY()+60)</formula>
    </cfRule>
  </conditionalFormatting>
  <conditionalFormatting sqref="I6:I26">
    <cfRule type="expression" priority="10" aboveAverage="0" equalAverage="0" bottom="0" percent="0" rank="0" text="" dxfId="3">
      <formula>AND(ISNUMBER(I6),I6&lt;=TODAY())</formula>
    </cfRule>
    <cfRule type="expression" priority="11" aboveAverage="0" equalAverage="0" bottom="0" percent="0" rank="0" text="" dxfId="2">
      <formula>AND(ISNUMBER(I6),I6&lt;=TODAY()+60)</formula>
    </cfRule>
  </conditionalFormatting>
  <conditionalFormatting sqref="K6:K26">
    <cfRule type="expression" priority="12" aboveAverage="0" equalAverage="0" bottom="0" percent="0" rank="0" text="" dxfId="3">
      <formula>AND(ISNUMBER(K6),K6&lt;=TODAY())</formula>
    </cfRule>
    <cfRule type="expression" priority="13" aboveAverage="0" equalAverage="0" bottom="0" percent="0" rank="0" text="" dxfId="2">
      <formula>AND(ISNUMBER(K6),K6&lt;=TODAY()+60)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9" activePane="bottomRight" state="frozen"/>
      <selection pane="topLeft" activeCell="A1" activeCellId="0" sqref="A1"/>
      <selection pane="topRight" activeCell="D1" activeCellId="0" sqref="D1"/>
      <selection pane="bottomLeft" activeCell="A9" activeCellId="0" sqref="A9"/>
      <selection pane="bottomRight" activeCell="F28" activeCellId="0" sqref="F28"/>
    </sheetView>
  </sheetViews>
  <sheetFormatPr defaultColWidth="8.6328125" defaultRowHeight="14.25" zeroHeight="false" outlineLevelRow="0" outlineLevelCol="0"/>
  <cols>
    <col collapsed="false" customWidth="true" hidden="false" outlineLevel="0" max="1" min="1" style="8" width="7"/>
    <col collapsed="false" customWidth="true" hidden="false" outlineLevel="0" max="2" min="2" style="8" width="8"/>
    <col collapsed="false" customWidth="true" hidden="false" outlineLevel="0" max="3" min="3" style="8" width="36"/>
    <col collapsed="false" customWidth="true" hidden="false" outlineLevel="0" max="7" min="4" style="8" width="14"/>
    <col collapsed="false" customWidth="true" hidden="false" outlineLevel="0" max="8" min="8" style="8" width="21"/>
    <col collapsed="false" customWidth="true" hidden="false" outlineLevel="0" max="9" min="9" style="8" width="10"/>
    <col collapsed="false" customWidth="true" hidden="false" outlineLevel="0" max="10" min="10" style="8" width="13"/>
    <col collapsed="false" customWidth="true" hidden="false" outlineLevel="0" max="11" min="11" style="8" width="26"/>
    <col collapsed="false" customWidth="true" hidden="false" outlineLevel="0" max="12" min="12" style="0" width="15"/>
  </cols>
  <sheetData>
    <row r="1" customFormat="false" ht="18" hidden="false" customHeight="true" outlineLevel="0" collapsed="false">
      <c r="A1" s="19" t="s">
        <v>181</v>
      </c>
      <c r="B1" s="19"/>
      <c r="C1" s="19"/>
      <c r="D1" s="19"/>
      <c r="E1" s="19"/>
      <c r="F1" s="19"/>
      <c r="G1" s="19"/>
      <c r="H1" s="19"/>
      <c r="I1" s="19"/>
      <c r="J1" s="19"/>
      <c r="K1" s="19"/>
      <c r="L1" s="19"/>
    </row>
    <row r="2" customFormat="false" ht="25.5" hidden="false" customHeight="true" outlineLevel="0" collapsed="false">
      <c r="A2" s="20" t="s">
        <v>182</v>
      </c>
      <c r="B2" s="20"/>
      <c r="C2" s="20"/>
      <c r="D2" s="20"/>
      <c r="E2" s="20"/>
      <c r="F2" s="20"/>
      <c r="G2" s="20"/>
      <c r="H2" s="20"/>
      <c r="I2" s="20"/>
      <c r="J2" s="20"/>
      <c r="K2" s="20"/>
      <c r="L2" s="20"/>
    </row>
    <row r="3" customFormat="false" ht="25.5" hidden="false" customHeight="true" outlineLevel="0" collapsed="false">
      <c r="A3" s="3" t="s">
        <v>183</v>
      </c>
      <c r="B3" s="3"/>
      <c r="C3" s="3"/>
      <c r="D3" s="3"/>
      <c r="E3" s="3"/>
      <c r="F3" s="3"/>
      <c r="G3" s="3"/>
      <c r="H3" s="3"/>
      <c r="I3" s="3"/>
      <c r="J3" s="3"/>
      <c r="K3" s="3"/>
      <c r="L3" s="3"/>
    </row>
    <row r="5" customFormat="false" ht="33.75" hidden="false" customHeight="true" outlineLevel="0" collapsed="false">
      <c r="A5" s="21" t="s">
        <v>184</v>
      </c>
      <c r="B5" s="21" t="s">
        <v>185</v>
      </c>
      <c r="C5" s="21" t="s">
        <v>143</v>
      </c>
      <c r="D5" s="21" t="s">
        <v>186</v>
      </c>
      <c r="E5" s="21" t="s">
        <v>187</v>
      </c>
      <c r="F5" s="21" t="s">
        <v>188</v>
      </c>
      <c r="G5" s="21" t="s">
        <v>189</v>
      </c>
      <c r="H5" s="21" t="s">
        <v>153</v>
      </c>
      <c r="I5" s="21" t="s">
        <v>154</v>
      </c>
      <c r="J5" s="21" t="s">
        <v>155</v>
      </c>
      <c r="K5" s="21" t="s">
        <v>8</v>
      </c>
      <c r="L5" s="21" t="s">
        <v>157</v>
      </c>
    </row>
    <row r="6" customFormat="false" ht="14.25" hidden="false" customHeight="true" outlineLevel="0" collapsed="false">
      <c r="A6" s="23" t="s">
        <v>9</v>
      </c>
      <c r="B6" s="30" t="s">
        <v>9</v>
      </c>
      <c r="C6" s="13" t="s">
        <v>190</v>
      </c>
      <c r="D6" s="25" t="n">
        <f aca="false">IF(_xlfn.MAXIFS('Inspection History'!$A$6:$A$20000,'Inspection History'!$B$6:$B$20000,$A6,'Inspection History'!$C$6:$C$20000,"Monthly Test",'Inspection History'!$D$6:$D$20000,"Pass")=0,"",_xlfn.MAXIFS('Inspection History'!$A$6:$A$20000,'Inspection History'!$B$6:$B$20000,$A6,'Inspection History'!$C$6:$C$20000,"Monthly Test",'Inspection History'!$D$6:$D$20000,"Pass"))</f>
        <v>46301</v>
      </c>
      <c r="E6" s="25" t="n">
        <f aca="false">IF($D6="","",$D6+Intervals!$C$7)</f>
        <v>46331</v>
      </c>
      <c r="F6" s="25" t="n">
        <f aca="false">IF(_xlfn.MAXIFS('Inspection History'!$A$6:$A$20000,'Inspection History'!$B$6:$B$20000,$A6,'Inspection History'!$C$6:$C$20000,"Annual Test",'Inspection History'!$D$6:$D$20000,"Pass")=0,"",_xlfn.MAXIFS('Inspection History'!$A$6:$A$20000,'Inspection History'!$B$6:$B$20000,$A6,'Inspection History'!$C$6:$C$20000,"Annual Test",'Inspection History'!$D$6:$D$20000,"Pass"))</f>
        <v>46071</v>
      </c>
      <c r="G6" s="25" t="n">
        <f aca="false">IF($F6="","",EDATE($F6,Intervals!$C$8))</f>
        <v>46436</v>
      </c>
      <c r="H6" s="13" t="str">
        <f aca="false">IF(COUNT($E6,$G6)=0,"—",IF(MIN($E6,$G6)=$E6,"Monthly function test","Annual 90-minute test"))</f>
        <v>Monthly function test</v>
      </c>
      <c r="I6" s="26" t="n">
        <f aca="true">IF(COUNT($E6,$G6)=0,"",MIN($E6,$G6)-TODAY())</f>
        <v>10</v>
      </c>
      <c r="J6" s="23" t="str">
        <f aca="false">IF($I6="","NOT LOGGED",IF($I6&lt;=0,"OVERDUE",IF($I6&lt;=Intervals!$C$26,"DUE SOON","OK")))</f>
        <v>OK</v>
      </c>
      <c r="K6" s="24"/>
      <c r="L6" s="27" t="str">
        <f aca="false">IF($D6="","",IF(SUMPRODUCT(MAX(('Inspection History'!$B$6:$B$20000=$A6)*('Inspection History'!$C$6:$C$20000="Monthly Test")*('Inspection History'!$D$6:$D$20000="Pass")*('Inspection History'!$A$6:$A$20000=$D6)*ROW('Inspection History'!$A$6:$A$20000)))=0,"",INDEX('Inspection History'!$E:$E,SUMPRODUCT(MAX(('Inspection History'!$B$6:$B$20000=$A6)*('Inspection History'!$C$6:$C$20000="Monthly Test")*('Inspection History'!$D$6:$D$20000="Pass")*('Inspection History'!$A$6:$A$20000=$D6)*ROW('Inspection History'!$A$6:$A$20000))))&amp;""))</f>
        <v/>
      </c>
    </row>
    <row r="7" customFormat="false" ht="14.25" hidden="false" customHeight="true" outlineLevel="0" collapsed="false">
      <c r="A7" s="23" t="s">
        <v>13</v>
      </c>
      <c r="B7" s="30" t="s">
        <v>13</v>
      </c>
      <c r="C7" s="13" t="s">
        <v>191</v>
      </c>
      <c r="D7" s="25" t="n">
        <f aca="false">IF(_xlfn.MAXIFS('Inspection History'!$A$6:$A$20000,'Inspection History'!$B$6:$B$20000,$A7,'Inspection History'!$C$6:$C$20000,"Monthly Test",'Inspection History'!$D$6:$D$20000,"Pass")=0,"",_xlfn.MAXIFS('Inspection History'!$A$6:$A$20000,'Inspection History'!$B$6:$B$20000,$A7,'Inspection History'!$C$6:$C$20000,"Monthly Test",'Inspection History'!$D$6:$D$20000,"Pass"))</f>
        <v>46301</v>
      </c>
      <c r="E7" s="25" t="n">
        <f aca="false">IF($D7="","",$D7+Intervals!$C$7)</f>
        <v>46331</v>
      </c>
      <c r="F7" s="25" t="n">
        <f aca="false">IF(_xlfn.MAXIFS('Inspection History'!$A$6:$A$20000,'Inspection History'!$B$6:$B$20000,$A7,'Inspection History'!$C$6:$C$20000,"Annual Test",'Inspection History'!$D$6:$D$20000,"Pass")=0,"",_xlfn.MAXIFS('Inspection History'!$A$6:$A$20000,'Inspection History'!$B$6:$B$20000,$A7,'Inspection History'!$C$6:$C$20000,"Annual Test",'Inspection History'!$D$6:$D$20000,"Pass"))</f>
        <v>46071</v>
      </c>
      <c r="G7" s="25" t="n">
        <f aca="false">IF($F7="","",EDATE($F7,Intervals!$C$8))</f>
        <v>46436</v>
      </c>
      <c r="H7" s="13" t="str">
        <f aca="false">IF(COUNT($E7,$G7)=0,"—",IF(MIN($E7,$G7)=$E7,"Monthly function test","Annual 90-minute test"))</f>
        <v>Monthly function test</v>
      </c>
      <c r="I7" s="26" t="n">
        <f aca="true">IF(COUNT($E7,$G7)=0,"",MIN($E7,$G7)-TODAY())</f>
        <v>10</v>
      </c>
      <c r="J7" s="23" t="str">
        <f aca="false">IF($I7="","NOT LOGGED",IF($I7&lt;=0,"OVERDUE",IF($I7&lt;=Intervals!$C$26,"DUE SOON","OK")))</f>
        <v>OK</v>
      </c>
      <c r="K7" s="24"/>
      <c r="L7" s="27" t="str">
        <f aca="false">IF($D7="","",IF(SUMPRODUCT(MAX(('Inspection History'!$B$6:$B$20000=$A7)*('Inspection History'!$C$6:$C$20000="Monthly Test")*('Inspection History'!$D$6:$D$20000="Pass")*('Inspection History'!$A$6:$A$20000=$D7)*ROW('Inspection History'!$A$6:$A$20000)))=0,"",INDEX('Inspection History'!$E:$E,SUMPRODUCT(MAX(('Inspection History'!$B$6:$B$20000=$A7)*('Inspection History'!$C$6:$C$20000="Monthly Test")*('Inspection History'!$D$6:$D$20000="Pass")*('Inspection History'!$A$6:$A$20000=$D7)*ROW('Inspection History'!$A$6:$A$20000))))&amp;""))</f>
        <v/>
      </c>
    </row>
    <row r="8" customFormat="false" ht="14.25" hidden="false" customHeight="true" outlineLevel="0" collapsed="false">
      <c r="A8" s="23" t="s">
        <v>14</v>
      </c>
      <c r="B8" s="30" t="s">
        <v>14</v>
      </c>
      <c r="C8" s="13" t="s">
        <v>192</v>
      </c>
      <c r="D8" s="25" t="n">
        <f aca="false">IF(_xlfn.MAXIFS('Inspection History'!$A$6:$A$20000,'Inspection History'!$B$6:$B$20000,$A8,'Inspection History'!$C$6:$C$20000,"Monthly Test",'Inspection History'!$D$6:$D$20000,"Pass")=0,"",_xlfn.MAXIFS('Inspection History'!$A$6:$A$20000,'Inspection History'!$B$6:$B$20000,$A8,'Inspection History'!$C$6:$C$20000,"Monthly Test",'Inspection History'!$D$6:$D$20000,"Pass"))</f>
        <v>46301</v>
      </c>
      <c r="E8" s="25" t="n">
        <f aca="false">IF($D8="","",$D8+Intervals!$C$7)</f>
        <v>46331</v>
      </c>
      <c r="F8" s="25" t="n">
        <f aca="false">IF(_xlfn.MAXIFS('Inspection History'!$A$6:$A$20000,'Inspection History'!$B$6:$B$20000,$A8,'Inspection History'!$C$6:$C$20000,"Annual Test",'Inspection History'!$D$6:$D$20000,"Pass")=0,"",_xlfn.MAXIFS('Inspection History'!$A$6:$A$20000,'Inspection History'!$B$6:$B$20000,$A8,'Inspection History'!$C$6:$C$20000,"Annual Test",'Inspection History'!$D$6:$D$20000,"Pass"))</f>
        <v>46071</v>
      </c>
      <c r="G8" s="25" t="n">
        <f aca="false">IF($F8="","",EDATE($F8,Intervals!$C$8))</f>
        <v>46436</v>
      </c>
      <c r="H8" s="13" t="str">
        <f aca="false">IF(COUNT($E8,$G8)=0,"—",IF(MIN($E8,$G8)=$E8,"Monthly function test","Annual 90-minute test"))</f>
        <v>Monthly function test</v>
      </c>
      <c r="I8" s="26" t="n">
        <f aca="true">IF(COUNT($E8,$G8)=0,"",MIN($E8,$G8)-TODAY())</f>
        <v>10</v>
      </c>
      <c r="J8" s="23" t="str">
        <f aca="false">IF($I8="","NOT LOGGED",IF($I8&lt;=0,"OVERDUE",IF($I8&lt;=Intervals!$C$26,"DUE SOON","OK")))</f>
        <v>OK</v>
      </c>
      <c r="K8" s="24"/>
      <c r="L8" s="27" t="str">
        <f aca="false">IF($D8="","",IF(SUMPRODUCT(MAX(('Inspection History'!$B$6:$B$20000=$A8)*('Inspection History'!$C$6:$C$20000="Monthly Test")*('Inspection History'!$D$6:$D$20000="Pass")*('Inspection History'!$A$6:$A$20000=$D8)*ROW('Inspection History'!$A$6:$A$20000)))=0,"",INDEX('Inspection History'!$E:$E,SUMPRODUCT(MAX(('Inspection History'!$B$6:$B$20000=$A8)*('Inspection History'!$C$6:$C$20000="Monthly Test")*('Inspection History'!$D$6:$D$20000="Pass")*('Inspection History'!$A$6:$A$20000=$D8)*ROW('Inspection History'!$A$6:$A$20000))))&amp;""))</f>
        <v/>
      </c>
    </row>
    <row r="9" customFormat="false" ht="14.25" hidden="false" customHeight="true" outlineLevel="0" collapsed="false">
      <c r="A9" s="28" t="s">
        <v>15</v>
      </c>
      <c r="B9" s="31" t="s">
        <v>193</v>
      </c>
      <c r="C9" s="29" t="s">
        <v>194</v>
      </c>
      <c r="D9" s="25" t="n">
        <f aca="false">IF(_xlfn.MAXIFS('Inspection History'!$A$6:$A$20000,'Inspection History'!$B$6:$B$20000,$A9,'Inspection History'!$C$6:$C$20000,"Monthly Test",'Inspection History'!$D$6:$D$20000,"Pass")=0,"",_xlfn.MAXIFS('Inspection History'!$A$6:$A$20000,'Inspection History'!$B$6:$B$20000,$A9,'Inspection History'!$C$6:$C$20000,"Monthly Test",'Inspection History'!$D$6:$D$20000,"Pass"))</f>
        <v>46301</v>
      </c>
      <c r="E9" s="25" t="n">
        <f aca="false">IF($D9="","",$D9+Intervals!$C$7)</f>
        <v>46331</v>
      </c>
      <c r="F9" s="25" t="n">
        <f aca="false">IF(_xlfn.MAXIFS('Inspection History'!$A$6:$A$20000,'Inspection History'!$B$6:$B$20000,$A9,'Inspection History'!$C$6:$C$20000,"Annual Test",'Inspection History'!$D$6:$D$20000,"Pass")=0,"",_xlfn.MAXIFS('Inspection History'!$A$6:$A$20000,'Inspection History'!$B$6:$B$20000,$A9,'Inspection History'!$C$6:$C$20000,"Annual Test",'Inspection History'!$D$6:$D$20000,"Pass"))</f>
        <v>46071</v>
      </c>
      <c r="G9" s="25" t="n">
        <f aca="false">IF($F9="","",EDATE($F9,Intervals!$C$8))</f>
        <v>46436</v>
      </c>
      <c r="H9" s="13" t="str">
        <f aca="false">IF(COUNT($E9,$G9)=0,"—",IF(MIN($E9,$G9)=$E9,"Monthly function test","Annual 90-minute test"))</f>
        <v>Monthly function test</v>
      </c>
      <c r="I9" s="26" t="n">
        <f aca="true">IF(COUNT($E9,$G9)=0,"",MIN($E9,$G9)-TODAY())</f>
        <v>10</v>
      </c>
      <c r="J9" s="23" t="str">
        <f aca="false">IF($I9="","NOT LOGGED",IF($I9&lt;=0,"OVERDUE",IF($I9&lt;=Intervals!$C$26,"DUE SOON","OK")))</f>
        <v>OK</v>
      </c>
      <c r="K9" s="24"/>
      <c r="L9" s="27" t="str">
        <f aca="false">IF($D9="","",IF(SUMPRODUCT(MAX(('Inspection History'!$B$6:$B$20000=$A9)*('Inspection History'!$C$6:$C$20000="Monthly Test")*('Inspection History'!$D$6:$D$20000="Pass")*('Inspection History'!$A$6:$A$20000=$D9)*ROW('Inspection History'!$A$6:$A$20000)))=0,"",INDEX('Inspection History'!$E:$E,SUMPRODUCT(MAX(('Inspection History'!$B$6:$B$20000=$A9)*('Inspection History'!$C$6:$C$20000="Monthly Test")*('Inspection History'!$D$6:$D$20000="Pass")*('Inspection History'!$A$6:$A$20000=$D9)*ROW('Inspection History'!$A$6:$A$20000))))&amp;""))</f>
        <v/>
      </c>
    </row>
    <row r="10" customFormat="false" ht="14.25" hidden="false" customHeight="true" outlineLevel="0" collapsed="false">
      <c r="A10" s="23" t="s">
        <v>16</v>
      </c>
      <c r="B10" s="30" t="s">
        <v>16</v>
      </c>
      <c r="C10" s="13" t="s">
        <v>195</v>
      </c>
      <c r="D10" s="25" t="n">
        <f aca="false">IF(_xlfn.MAXIFS('Inspection History'!$A$6:$A$20000,'Inspection History'!$B$6:$B$20000,$A10,'Inspection History'!$C$6:$C$20000,"Monthly Test",'Inspection History'!$D$6:$D$20000,"Pass")=0,"",_xlfn.MAXIFS('Inspection History'!$A$6:$A$20000,'Inspection History'!$B$6:$B$20000,$A10,'Inspection History'!$C$6:$C$20000,"Monthly Test",'Inspection History'!$D$6:$D$20000,"Pass"))</f>
        <v>46301</v>
      </c>
      <c r="E10" s="25" t="n">
        <f aca="false">IF($D10="","",$D10+Intervals!$C$7)</f>
        <v>46331</v>
      </c>
      <c r="F10" s="25" t="n">
        <f aca="false">IF(_xlfn.MAXIFS('Inspection History'!$A$6:$A$20000,'Inspection History'!$B$6:$B$20000,$A10,'Inspection History'!$C$6:$C$20000,"Annual Test",'Inspection History'!$D$6:$D$20000,"Pass")=0,"",_xlfn.MAXIFS('Inspection History'!$A$6:$A$20000,'Inspection History'!$B$6:$B$20000,$A10,'Inspection History'!$C$6:$C$20000,"Annual Test",'Inspection History'!$D$6:$D$20000,"Pass"))</f>
        <v>46071</v>
      </c>
      <c r="G10" s="25" t="n">
        <f aca="false">IF($F10="","",EDATE($F10,Intervals!$C$8))</f>
        <v>46436</v>
      </c>
      <c r="H10" s="13" t="str">
        <f aca="false">IF(COUNT($E10,$G10)=0,"—",IF(MIN($E10,$G10)=$E10,"Monthly function test","Annual 90-minute test"))</f>
        <v>Monthly function test</v>
      </c>
      <c r="I10" s="26" t="n">
        <f aca="true">IF(COUNT($E10,$G10)=0,"",MIN($E10,$G10)-TODAY())</f>
        <v>10</v>
      </c>
      <c r="J10" s="23" t="str">
        <f aca="false">IF($I10="","NOT LOGGED",IF($I10&lt;=0,"OVERDUE",IF($I10&lt;=Intervals!$C$26,"DUE SOON","OK")))</f>
        <v>OK</v>
      </c>
      <c r="K10" s="24"/>
      <c r="L10" s="27" t="str">
        <f aca="false">IF($D10="","",IF(SUMPRODUCT(MAX(('Inspection History'!$B$6:$B$20000=$A10)*('Inspection History'!$C$6:$C$20000="Monthly Test")*('Inspection History'!$D$6:$D$20000="Pass")*('Inspection History'!$A$6:$A$20000=$D10)*ROW('Inspection History'!$A$6:$A$20000)))=0,"",INDEX('Inspection History'!$E:$E,SUMPRODUCT(MAX(('Inspection History'!$B$6:$B$20000=$A10)*('Inspection History'!$C$6:$C$20000="Monthly Test")*('Inspection History'!$D$6:$D$20000="Pass")*('Inspection History'!$A$6:$A$20000=$D10)*ROW('Inspection History'!$A$6:$A$20000))))&amp;""))</f>
        <v/>
      </c>
    </row>
    <row r="11" customFormat="false" ht="14.25" hidden="false" customHeight="true" outlineLevel="0" collapsed="false">
      <c r="A11" s="28" t="s">
        <v>17</v>
      </c>
      <c r="B11" s="31" t="s">
        <v>193</v>
      </c>
      <c r="C11" s="29" t="s">
        <v>159</v>
      </c>
      <c r="D11" s="25" t="n">
        <f aca="false">IF(_xlfn.MAXIFS('Inspection History'!$A$6:$A$20000,'Inspection History'!$B$6:$B$20000,$A11,'Inspection History'!$C$6:$C$20000,"Monthly Test",'Inspection History'!$D$6:$D$20000,"Pass")=0,"",_xlfn.MAXIFS('Inspection History'!$A$6:$A$20000,'Inspection History'!$B$6:$B$20000,$A11,'Inspection History'!$C$6:$C$20000,"Monthly Test",'Inspection History'!$D$6:$D$20000,"Pass"))</f>
        <v>46301</v>
      </c>
      <c r="E11" s="25" t="n">
        <f aca="false">IF($D11="","",$D11+Intervals!$C$7)</f>
        <v>46331</v>
      </c>
      <c r="F11" s="25" t="n">
        <f aca="false">IF(_xlfn.MAXIFS('Inspection History'!$A$6:$A$20000,'Inspection History'!$B$6:$B$20000,$A11,'Inspection History'!$C$6:$C$20000,"Annual Test",'Inspection History'!$D$6:$D$20000,"Pass")=0,"",_xlfn.MAXIFS('Inspection History'!$A$6:$A$20000,'Inspection History'!$B$6:$B$20000,$A11,'Inspection History'!$C$6:$C$20000,"Annual Test",'Inspection History'!$D$6:$D$20000,"Pass"))</f>
        <v>46071</v>
      </c>
      <c r="G11" s="25" t="n">
        <f aca="false">IF($F11="","",EDATE($F11,Intervals!$C$8))</f>
        <v>46436</v>
      </c>
      <c r="H11" s="13" t="str">
        <f aca="false">IF(COUNT($E11,$G11)=0,"—",IF(MIN($E11,$G11)=$E11,"Monthly function test","Annual 90-minute test"))</f>
        <v>Monthly function test</v>
      </c>
      <c r="I11" s="26" t="n">
        <f aca="true">IF(COUNT($E11,$G11)=0,"",MIN($E11,$G11)-TODAY())</f>
        <v>10</v>
      </c>
      <c r="J11" s="23" t="str">
        <f aca="false">IF($I11="","NOT LOGGED",IF($I11&lt;=0,"OVERDUE",IF($I11&lt;=Intervals!$C$26,"DUE SOON","OK")))</f>
        <v>OK</v>
      </c>
      <c r="K11" s="24"/>
      <c r="L11" s="27" t="str">
        <f aca="false">IF($D11="","",IF(SUMPRODUCT(MAX(('Inspection History'!$B$6:$B$20000=$A11)*('Inspection History'!$C$6:$C$20000="Monthly Test")*('Inspection History'!$D$6:$D$20000="Pass")*('Inspection History'!$A$6:$A$20000=$D11)*ROW('Inspection History'!$A$6:$A$20000)))=0,"",INDEX('Inspection History'!$E:$E,SUMPRODUCT(MAX(('Inspection History'!$B$6:$B$20000=$A11)*('Inspection History'!$C$6:$C$20000="Monthly Test")*('Inspection History'!$D$6:$D$20000="Pass")*('Inspection History'!$A$6:$A$20000=$D11)*ROW('Inspection History'!$A$6:$A$20000))))&amp;""))</f>
        <v/>
      </c>
    </row>
    <row r="12" customFormat="false" ht="14.25" hidden="false" customHeight="true" outlineLevel="0" collapsed="false">
      <c r="A12" s="23" t="s">
        <v>18</v>
      </c>
      <c r="B12" s="30" t="s">
        <v>17</v>
      </c>
      <c r="C12" s="13" t="s">
        <v>196</v>
      </c>
      <c r="D12" s="25" t="n">
        <f aca="false">IF(_xlfn.MAXIFS('Inspection History'!$A$6:$A$20000,'Inspection History'!$B$6:$B$20000,$A12,'Inspection History'!$C$6:$C$20000,"Monthly Test",'Inspection History'!$D$6:$D$20000,"Pass")=0,"",_xlfn.MAXIFS('Inspection History'!$A$6:$A$20000,'Inspection History'!$B$6:$B$20000,$A12,'Inspection History'!$C$6:$C$20000,"Monthly Test",'Inspection History'!$D$6:$D$20000,"Pass"))</f>
        <v>46301</v>
      </c>
      <c r="E12" s="25" t="n">
        <f aca="false">IF($D12="","",$D12+Intervals!$C$7)</f>
        <v>46331</v>
      </c>
      <c r="F12" s="25" t="n">
        <f aca="false">IF(_xlfn.MAXIFS('Inspection History'!$A$6:$A$20000,'Inspection History'!$B$6:$B$20000,$A12,'Inspection History'!$C$6:$C$20000,"Annual Test",'Inspection History'!$D$6:$D$20000,"Pass")=0,"",_xlfn.MAXIFS('Inspection History'!$A$6:$A$20000,'Inspection History'!$B$6:$B$20000,$A12,'Inspection History'!$C$6:$C$20000,"Annual Test",'Inspection History'!$D$6:$D$20000,"Pass"))</f>
        <v>46071</v>
      </c>
      <c r="G12" s="25" t="n">
        <f aca="false">IF($F12="","",EDATE($F12,Intervals!$C$8))</f>
        <v>46436</v>
      </c>
      <c r="H12" s="13" t="str">
        <f aca="false">IF(COUNT($E12,$G12)=0,"—",IF(MIN($E12,$G12)=$E12,"Monthly function test","Annual 90-minute test"))</f>
        <v>Monthly function test</v>
      </c>
      <c r="I12" s="26" t="n">
        <f aca="true">IF(COUNT($E12,$G12)=0,"",MIN($E12,$G12)-TODAY())</f>
        <v>10</v>
      </c>
      <c r="J12" s="23" t="str">
        <f aca="false">IF($I12="","NOT LOGGED",IF($I12&lt;=0,"OVERDUE",IF($I12&lt;=Intervals!$C$26,"DUE SOON","OK")))</f>
        <v>OK</v>
      </c>
      <c r="K12" s="24"/>
      <c r="L12" s="27" t="str">
        <f aca="false">IF($D12="","",IF(SUMPRODUCT(MAX(('Inspection History'!$B$6:$B$20000=$A12)*('Inspection History'!$C$6:$C$20000="Monthly Test")*('Inspection History'!$D$6:$D$20000="Pass")*('Inspection History'!$A$6:$A$20000=$D12)*ROW('Inspection History'!$A$6:$A$20000)))=0,"",INDEX('Inspection History'!$E:$E,SUMPRODUCT(MAX(('Inspection History'!$B$6:$B$20000=$A12)*('Inspection History'!$C$6:$C$20000="Monthly Test")*('Inspection History'!$D$6:$D$20000="Pass")*('Inspection History'!$A$6:$A$20000=$D12)*ROW('Inspection History'!$A$6:$A$20000))))&amp;""))</f>
        <v/>
      </c>
    </row>
    <row r="13" customFormat="false" ht="14.25" hidden="false" customHeight="true" outlineLevel="0" collapsed="false">
      <c r="A13" s="28" t="s">
        <v>19</v>
      </c>
      <c r="B13" s="31" t="s">
        <v>193</v>
      </c>
      <c r="C13" s="29" t="s">
        <v>197</v>
      </c>
      <c r="D13" s="25" t="n">
        <f aca="false">IF(_xlfn.MAXIFS('Inspection History'!$A$6:$A$20000,'Inspection History'!$B$6:$B$20000,$A13,'Inspection History'!$C$6:$C$20000,"Monthly Test",'Inspection History'!$D$6:$D$20000,"Pass")=0,"",_xlfn.MAXIFS('Inspection History'!$A$6:$A$20000,'Inspection History'!$B$6:$B$20000,$A13,'Inspection History'!$C$6:$C$20000,"Monthly Test",'Inspection History'!$D$6:$D$20000,"Pass"))</f>
        <v>46301</v>
      </c>
      <c r="E13" s="25" t="n">
        <f aca="false">IF($D13="","",$D13+Intervals!$C$7)</f>
        <v>46331</v>
      </c>
      <c r="F13" s="25" t="n">
        <f aca="false">IF(_xlfn.MAXIFS('Inspection History'!$A$6:$A$20000,'Inspection History'!$B$6:$B$20000,$A13,'Inspection History'!$C$6:$C$20000,"Annual Test",'Inspection History'!$D$6:$D$20000,"Pass")=0,"",_xlfn.MAXIFS('Inspection History'!$A$6:$A$20000,'Inspection History'!$B$6:$B$20000,$A13,'Inspection History'!$C$6:$C$20000,"Annual Test",'Inspection History'!$D$6:$D$20000,"Pass"))</f>
        <v>46071</v>
      </c>
      <c r="G13" s="25" t="n">
        <f aca="false">IF($F13="","",EDATE($F13,Intervals!$C$8))</f>
        <v>46436</v>
      </c>
      <c r="H13" s="13" t="str">
        <f aca="false">IF(COUNT($E13,$G13)=0,"—",IF(MIN($E13,$G13)=$E13,"Monthly function test","Annual 90-minute test"))</f>
        <v>Monthly function test</v>
      </c>
      <c r="I13" s="26" t="n">
        <f aca="true">IF(COUNT($E13,$G13)=0,"",MIN($E13,$G13)-TODAY())</f>
        <v>10</v>
      </c>
      <c r="J13" s="23" t="str">
        <f aca="false">IF($I13="","NOT LOGGED",IF($I13&lt;=0,"OVERDUE",IF($I13&lt;=Intervals!$C$26,"DUE SOON","OK")))</f>
        <v>OK</v>
      </c>
      <c r="K13" s="24"/>
      <c r="L13" s="27" t="str">
        <f aca="false">IF($D13="","",IF(SUMPRODUCT(MAX(('Inspection History'!$B$6:$B$20000=$A13)*('Inspection History'!$C$6:$C$20000="Monthly Test")*('Inspection History'!$D$6:$D$20000="Pass")*('Inspection History'!$A$6:$A$20000=$D13)*ROW('Inspection History'!$A$6:$A$20000)))=0,"",INDEX('Inspection History'!$E:$E,SUMPRODUCT(MAX(('Inspection History'!$B$6:$B$20000=$A13)*('Inspection History'!$C$6:$C$20000="Monthly Test")*('Inspection History'!$D$6:$D$20000="Pass")*('Inspection History'!$A$6:$A$20000=$D13)*ROW('Inspection History'!$A$6:$A$20000))))&amp;""))</f>
        <v/>
      </c>
    </row>
    <row r="14" customFormat="false" ht="14.25" hidden="false" customHeight="true" outlineLevel="0" collapsed="false">
      <c r="A14" s="23" t="s">
        <v>20</v>
      </c>
      <c r="B14" s="30" t="s">
        <v>18</v>
      </c>
      <c r="C14" s="13" t="s">
        <v>160</v>
      </c>
      <c r="D14" s="25" t="n">
        <f aca="false">IF(_xlfn.MAXIFS('Inspection History'!$A$6:$A$20000,'Inspection History'!$B$6:$B$20000,$A14,'Inspection History'!$C$6:$C$20000,"Monthly Test",'Inspection History'!$D$6:$D$20000,"Pass")=0,"",_xlfn.MAXIFS('Inspection History'!$A$6:$A$20000,'Inspection History'!$B$6:$B$20000,$A14,'Inspection History'!$C$6:$C$20000,"Monthly Test",'Inspection History'!$D$6:$D$20000,"Pass"))</f>
        <v>46301</v>
      </c>
      <c r="E14" s="25" t="n">
        <f aca="false">IF($D14="","",$D14+Intervals!$C$7)</f>
        <v>46331</v>
      </c>
      <c r="F14" s="25" t="n">
        <f aca="false">IF(_xlfn.MAXIFS('Inspection History'!$A$6:$A$20000,'Inspection History'!$B$6:$B$20000,$A14,'Inspection History'!$C$6:$C$20000,"Annual Test",'Inspection History'!$D$6:$D$20000,"Pass")=0,"",_xlfn.MAXIFS('Inspection History'!$A$6:$A$20000,'Inspection History'!$B$6:$B$20000,$A14,'Inspection History'!$C$6:$C$20000,"Annual Test",'Inspection History'!$D$6:$D$20000,"Pass"))</f>
        <v>46071</v>
      </c>
      <c r="G14" s="25" t="n">
        <f aca="false">IF($F14="","",EDATE($F14,Intervals!$C$8))</f>
        <v>46436</v>
      </c>
      <c r="H14" s="13" t="str">
        <f aca="false">IF(COUNT($E14,$G14)=0,"—",IF(MIN($E14,$G14)=$E14,"Monthly function test","Annual 90-minute test"))</f>
        <v>Monthly function test</v>
      </c>
      <c r="I14" s="26" t="n">
        <f aca="true">IF(COUNT($E14,$G14)=0,"",MIN($E14,$G14)-TODAY())</f>
        <v>10</v>
      </c>
      <c r="J14" s="23" t="str">
        <f aca="false">IF($I14="","NOT LOGGED",IF($I14&lt;=0,"OVERDUE",IF($I14&lt;=Intervals!$C$26,"DUE SOON","OK")))</f>
        <v>OK</v>
      </c>
      <c r="K14" s="24"/>
      <c r="L14" s="27" t="str">
        <f aca="false">IF($D14="","",IF(SUMPRODUCT(MAX(('Inspection History'!$B$6:$B$20000=$A14)*('Inspection History'!$C$6:$C$20000="Monthly Test")*('Inspection History'!$D$6:$D$20000="Pass")*('Inspection History'!$A$6:$A$20000=$D14)*ROW('Inspection History'!$A$6:$A$20000)))=0,"",INDEX('Inspection History'!$E:$E,SUMPRODUCT(MAX(('Inspection History'!$B$6:$B$20000=$A14)*('Inspection History'!$C$6:$C$20000="Monthly Test")*('Inspection History'!$D$6:$D$20000="Pass")*('Inspection History'!$A$6:$A$20000=$D14)*ROW('Inspection History'!$A$6:$A$20000))))&amp;""))</f>
        <v/>
      </c>
    </row>
    <row r="15" customFormat="false" ht="14.25" hidden="false" customHeight="true" outlineLevel="0" collapsed="false">
      <c r="A15" s="28" t="s">
        <v>21</v>
      </c>
      <c r="B15" s="31" t="s">
        <v>193</v>
      </c>
      <c r="C15" s="29" t="s">
        <v>198</v>
      </c>
      <c r="D15" s="25" t="n">
        <f aca="false">IF(_xlfn.MAXIFS('Inspection History'!$A$6:$A$20000,'Inspection History'!$B$6:$B$20000,$A15,'Inspection History'!$C$6:$C$20000,"Monthly Test",'Inspection History'!$D$6:$D$20000,"Pass")=0,"",_xlfn.MAXIFS('Inspection History'!$A$6:$A$20000,'Inspection History'!$B$6:$B$20000,$A15,'Inspection History'!$C$6:$C$20000,"Monthly Test",'Inspection History'!$D$6:$D$20000,"Pass"))</f>
        <v>46301</v>
      </c>
      <c r="E15" s="25" t="n">
        <f aca="false">IF($D15="","",$D15+Intervals!$C$7)</f>
        <v>46331</v>
      </c>
      <c r="F15" s="25" t="n">
        <f aca="false">IF(_xlfn.MAXIFS('Inspection History'!$A$6:$A$20000,'Inspection History'!$B$6:$B$20000,$A15,'Inspection History'!$C$6:$C$20000,"Annual Test",'Inspection History'!$D$6:$D$20000,"Pass")=0,"",_xlfn.MAXIFS('Inspection History'!$A$6:$A$20000,'Inspection History'!$B$6:$B$20000,$A15,'Inspection History'!$C$6:$C$20000,"Annual Test",'Inspection History'!$D$6:$D$20000,"Pass"))</f>
        <v>46071</v>
      </c>
      <c r="G15" s="25" t="n">
        <f aca="false">IF($F15="","",EDATE($F15,Intervals!$C$8))</f>
        <v>46436</v>
      </c>
      <c r="H15" s="13" t="str">
        <f aca="false">IF(COUNT($E15,$G15)=0,"—",IF(MIN($E15,$G15)=$E15,"Monthly function test","Annual 90-minute test"))</f>
        <v>Monthly function test</v>
      </c>
      <c r="I15" s="26" t="n">
        <f aca="true">IF(COUNT($E15,$G15)=0,"",MIN($E15,$G15)-TODAY())</f>
        <v>10</v>
      </c>
      <c r="J15" s="23" t="str">
        <f aca="false">IF($I15="","NOT LOGGED",IF($I15&lt;=0,"OVERDUE",IF($I15&lt;=Intervals!$C$26,"DUE SOON","OK")))</f>
        <v>OK</v>
      </c>
      <c r="K15" s="24"/>
      <c r="L15" s="27" t="str">
        <f aca="false">IF($D15="","",IF(SUMPRODUCT(MAX(('Inspection History'!$B$6:$B$20000=$A15)*('Inspection History'!$C$6:$C$20000="Monthly Test")*('Inspection History'!$D$6:$D$20000="Pass")*('Inspection History'!$A$6:$A$20000=$D15)*ROW('Inspection History'!$A$6:$A$20000)))=0,"",INDEX('Inspection History'!$E:$E,SUMPRODUCT(MAX(('Inspection History'!$B$6:$B$20000=$A15)*('Inspection History'!$C$6:$C$20000="Monthly Test")*('Inspection History'!$D$6:$D$20000="Pass")*('Inspection History'!$A$6:$A$20000=$D15)*ROW('Inspection History'!$A$6:$A$20000))))&amp;""))</f>
        <v/>
      </c>
    </row>
    <row r="16" customFormat="false" ht="14.25" hidden="false" customHeight="true" outlineLevel="0" collapsed="false">
      <c r="A16" s="23" t="s">
        <v>22</v>
      </c>
      <c r="B16" s="30" t="s">
        <v>19</v>
      </c>
      <c r="C16" s="13" t="s">
        <v>161</v>
      </c>
      <c r="D16" s="25" t="n">
        <f aca="false">IF(_xlfn.MAXIFS('Inspection History'!$A$6:$A$20000,'Inspection History'!$B$6:$B$20000,$A16,'Inspection History'!$C$6:$C$20000,"Monthly Test",'Inspection History'!$D$6:$D$20000,"Pass")=0,"",_xlfn.MAXIFS('Inspection History'!$A$6:$A$20000,'Inspection History'!$B$6:$B$20000,$A16,'Inspection History'!$C$6:$C$20000,"Monthly Test",'Inspection History'!$D$6:$D$20000,"Pass"))</f>
        <v>46301</v>
      </c>
      <c r="E16" s="25" t="n">
        <f aca="false">IF($D16="","",$D16+Intervals!$C$7)</f>
        <v>46331</v>
      </c>
      <c r="F16" s="25" t="n">
        <f aca="false">IF(_xlfn.MAXIFS('Inspection History'!$A$6:$A$20000,'Inspection History'!$B$6:$B$20000,$A16,'Inspection History'!$C$6:$C$20000,"Annual Test",'Inspection History'!$D$6:$D$20000,"Pass")=0,"",_xlfn.MAXIFS('Inspection History'!$A$6:$A$20000,'Inspection History'!$B$6:$B$20000,$A16,'Inspection History'!$C$6:$C$20000,"Annual Test",'Inspection History'!$D$6:$D$20000,"Pass"))</f>
        <v>46071</v>
      </c>
      <c r="G16" s="25" t="n">
        <f aca="false">IF($F16="","",EDATE($F16,Intervals!$C$8))</f>
        <v>46436</v>
      </c>
      <c r="H16" s="13" t="str">
        <f aca="false">IF(COUNT($E16,$G16)=0,"—",IF(MIN($E16,$G16)=$E16,"Monthly function test","Annual 90-minute test"))</f>
        <v>Monthly function test</v>
      </c>
      <c r="I16" s="26" t="n">
        <f aca="true">IF(COUNT($E16,$G16)=0,"",MIN($E16,$G16)-TODAY())</f>
        <v>10</v>
      </c>
      <c r="J16" s="23" t="str">
        <f aca="false">IF($I16="","NOT LOGGED",IF($I16&lt;=0,"OVERDUE",IF($I16&lt;=Intervals!$C$26,"DUE SOON","OK")))</f>
        <v>OK</v>
      </c>
      <c r="K16" s="24"/>
      <c r="L16" s="27" t="str">
        <f aca="false">IF($D16="","",IF(SUMPRODUCT(MAX(('Inspection History'!$B$6:$B$20000=$A16)*('Inspection History'!$C$6:$C$20000="Monthly Test")*('Inspection History'!$D$6:$D$20000="Pass")*('Inspection History'!$A$6:$A$20000=$D16)*ROW('Inspection History'!$A$6:$A$20000)))=0,"",INDEX('Inspection History'!$E:$E,SUMPRODUCT(MAX(('Inspection History'!$B$6:$B$20000=$A16)*('Inspection History'!$C$6:$C$20000="Monthly Test")*('Inspection History'!$D$6:$D$20000="Pass")*('Inspection History'!$A$6:$A$20000=$D16)*ROW('Inspection History'!$A$6:$A$20000))))&amp;""))</f>
        <v/>
      </c>
    </row>
    <row r="17" customFormat="false" ht="14.25" hidden="false" customHeight="true" outlineLevel="0" collapsed="false">
      <c r="A17" s="28" t="s">
        <v>23</v>
      </c>
      <c r="B17" s="31" t="s">
        <v>193</v>
      </c>
      <c r="C17" s="29" t="s">
        <v>199</v>
      </c>
      <c r="D17" s="25" t="n">
        <f aca="false">IF(_xlfn.MAXIFS('Inspection History'!$A$6:$A$20000,'Inspection History'!$B$6:$B$20000,$A17,'Inspection History'!$C$6:$C$20000,"Monthly Test",'Inspection History'!$D$6:$D$20000,"Pass")=0,"",_xlfn.MAXIFS('Inspection History'!$A$6:$A$20000,'Inspection History'!$B$6:$B$20000,$A17,'Inspection History'!$C$6:$C$20000,"Monthly Test",'Inspection History'!$D$6:$D$20000,"Pass"))</f>
        <v>46301</v>
      </c>
      <c r="E17" s="25" t="n">
        <f aca="false">IF($D17="","",$D17+Intervals!$C$7)</f>
        <v>46331</v>
      </c>
      <c r="F17" s="25" t="n">
        <f aca="false">IF(_xlfn.MAXIFS('Inspection History'!$A$6:$A$20000,'Inspection History'!$B$6:$B$20000,$A17,'Inspection History'!$C$6:$C$20000,"Annual Test",'Inspection History'!$D$6:$D$20000,"Pass")=0,"",_xlfn.MAXIFS('Inspection History'!$A$6:$A$20000,'Inspection History'!$B$6:$B$20000,$A17,'Inspection History'!$C$6:$C$20000,"Annual Test",'Inspection History'!$D$6:$D$20000,"Pass"))</f>
        <v>46071</v>
      </c>
      <c r="G17" s="25" t="n">
        <f aca="false">IF($F17="","",EDATE($F17,Intervals!$C$8))</f>
        <v>46436</v>
      </c>
      <c r="H17" s="13" t="str">
        <f aca="false">IF(COUNT($E17,$G17)=0,"—",IF(MIN($E17,$G17)=$E17,"Monthly function test","Annual 90-minute test"))</f>
        <v>Monthly function test</v>
      </c>
      <c r="I17" s="26" t="n">
        <f aca="true">IF(COUNT($E17,$G17)=0,"",MIN($E17,$G17)-TODAY())</f>
        <v>10</v>
      </c>
      <c r="J17" s="23" t="str">
        <f aca="false">IF($I17="","NOT LOGGED",IF($I17&lt;=0,"OVERDUE",IF($I17&lt;=Intervals!$C$26,"DUE SOON","OK")))</f>
        <v>OK</v>
      </c>
      <c r="K17" s="24"/>
      <c r="L17" s="27" t="str">
        <f aca="false">IF($D17="","",IF(SUMPRODUCT(MAX(('Inspection History'!$B$6:$B$20000=$A17)*('Inspection History'!$C$6:$C$20000="Monthly Test")*('Inspection History'!$D$6:$D$20000="Pass")*('Inspection History'!$A$6:$A$20000=$D17)*ROW('Inspection History'!$A$6:$A$20000)))=0,"",INDEX('Inspection History'!$E:$E,SUMPRODUCT(MAX(('Inspection History'!$B$6:$B$20000=$A17)*('Inspection History'!$C$6:$C$20000="Monthly Test")*('Inspection History'!$D$6:$D$20000="Pass")*('Inspection History'!$A$6:$A$20000=$D17)*ROW('Inspection History'!$A$6:$A$20000))))&amp;""))</f>
        <v/>
      </c>
    </row>
    <row r="18" customFormat="false" ht="14.25" hidden="false" customHeight="true" outlineLevel="0" collapsed="false">
      <c r="A18" s="23" t="s">
        <v>24</v>
      </c>
      <c r="B18" s="30" t="s">
        <v>21</v>
      </c>
      <c r="C18" s="13" t="s">
        <v>200</v>
      </c>
      <c r="D18" s="25" t="n">
        <f aca="false">IF(_xlfn.MAXIFS('Inspection History'!$A$6:$A$20000,'Inspection History'!$B$6:$B$20000,$A18,'Inspection History'!$C$6:$C$20000,"Monthly Test",'Inspection History'!$D$6:$D$20000,"Pass")=0,"",_xlfn.MAXIFS('Inspection History'!$A$6:$A$20000,'Inspection History'!$B$6:$B$20000,$A18,'Inspection History'!$C$6:$C$20000,"Monthly Test",'Inspection History'!$D$6:$D$20000,"Pass"))</f>
        <v>46301</v>
      </c>
      <c r="E18" s="25" t="n">
        <f aca="false">IF($D18="","",$D18+Intervals!$C$7)</f>
        <v>46331</v>
      </c>
      <c r="F18" s="25" t="n">
        <f aca="false">IF(_xlfn.MAXIFS('Inspection History'!$A$6:$A$20000,'Inspection History'!$B$6:$B$20000,$A18,'Inspection History'!$C$6:$C$20000,"Annual Test",'Inspection History'!$D$6:$D$20000,"Pass")=0,"",_xlfn.MAXIFS('Inspection History'!$A$6:$A$20000,'Inspection History'!$B$6:$B$20000,$A18,'Inspection History'!$C$6:$C$20000,"Annual Test",'Inspection History'!$D$6:$D$20000,"Pass"))</f>
        <v>46071</v>
      </c>
      <c r="G18" s="25" t="n">
        <f aca="false">IF($F18="","",EDATE($F18,Intervals!$C$8))</f>
        <v>46436</v>
      </c>
      <c r="H18" s="13" t="str">
        <f aca="false">IF(COUNT($E18,$G18)=0,"—",IF(MIN($E18,$G18)=$E18,"Monthly function test","Annual 90-minute test"))</f>
        <v>Monthly function test</v>
      </c>
      <c r="I18" s="26" t="n">
        <f aca="true">IF(COUNT($E18,$G18)=0,"",MIN($E18,$G18)-TODAY())</f>
        <v>10</v>
      </c>
      <c r="J18" s="23" t="str">
        <f aca="false">IF($I18="","NOT LOGGED",IF($I18&lt;=0,"OVERDUE",IF($I18&lt;=Intervals!$C$26,"DUE SOON","OK")))</f>
        <v>OK</v>
      </c>
      <c r="K18" s="24"/>
      <c r="L18" s="27" t="str">
        <f aca="false">IF($D18="","",IF(SUMPRODUCT(MAX(('Inspection History'!$B$6:$B$20000=$A18)*('Inspection History'!$C$6:$C$20000="Monthly Test")*('Inspection History'!$D$6:$D$20000="Pass")*('Inspection History'!$A$6:$A$20000=$D18)*ROW('Inspection History'!$A$6:$A$20000)))=0,"",INDEX('Inspection History'!$E:$E,SUMPRODUCT(MAX(('Inspection History'!$B$6:$B$20000=$A18)*('Inspection History'!$C$6:$C$20000="Monthly Test")*('Inspection History'!$D$6:$D$20000="Pass")*('Inspection History'!$A$6:$A$20000=$D18)*ROW('Inspection History'!$A$6:$A$20000))))&amp;""))</f>
        <v/>
      </c>
    </row>
    <row r="19" customFormat="false" ht="14.25" hidden="false" customHeight="true" outlineLevel="0" collapsed="false">
      <c r="A19" s="23" t="s">
        <v>25</v>
      </c>
      <c r="B19" s="30" t="s">
        <v>22</v>
      </c>
      <c r="C19" s="13" t="s">
        <v>201</v>
      </c>
      <c r="D19" s="25" t="n">
        <f aca="false">IF(_xlfn.MAXIFS('Inspection History'!$A$6:$A$20000,'Inspection History'!$B$6:$B$20000,$A19,'Inspection History'!$C$6:$C$20000,"Monthly Test",'Inspection History'!$D$6:$D$20000,"Pass")=0,"",_xlfn.MAXIFS('Inspection History'!$A$6:$A$20000,'Inspection History'!$B$6:$B$20000,$A19,'Inspection History'!$C$6:$C$20000,"Monthly Test",'Inspection History'!$D$6:$D$20000,"Pass"))</f>
        <v>46301</v>
      </c>
      <c r="E19" s="25" t="n">
        <f aca="false">IF($D19="","",$D19+Intervals!$C$7)</f>
        <v>46331</v>
      </c>
      <c r="F19" s="25" t="n">
        <f aca="false">IF(_xlfn.MAXIFS('Inspection History'!$A$6:$A$20000,'Inspection History'!$B$6:$B$20000,$A19,'Inspection History'!$C$6:$C$20000,"Annual Test",'Inspection History'!$D$6:$D$20000,"Pass")=0,"",_xlfn.MAXIFS('Inspection History'!$A$6:$A$20000,'Inspection History'!$B$6:$B$20000,$A19,'Inspection History'!$C$6:$C$20000,"Annual Test",'Inspection History'!$D$6:$D$20000,"Pass"))</f>
        <v>46071</v>
      </c>
      <c r="G19" s="25" t="n">
        <f aca="false">IF($F19="","",EDATE($F19,Intervals!$C$8))</f>
        <v>46436</v>
      </c>
      <c r="H19" s="13" t="str">
        <f aca="false">IF(COUNT($E19,$G19)=0,"—",IF(MIN($E19,$G19)=$E19,"Monthly function test","Annual 90-minute test"))</f>
        <v>Monthly function test</v>
      </c>
      <c r="I19" s="26" t="n">
        <f aca="true">IF(COUNT($E19,$G19)=0,"",MIN($E19,$G19)-TODAY())</f>
        <v>10</v>
      </c>
      <c r="J19" s="23" t="str">
        <f aca="false">IF($I19="","NOT LOGGED",IF($I19&lt;=0,"OVERDUE",IF($I19&lt;=Intervals!$C$26,"DUE SOON","OK")))</f>
        <v>OK</v>
      </c>
      <c r="K19" s="24"/>
      <c r="L19" s="27" t="str">
        <f aca="false">IF($D19="","",IF(SUMPRODUCT(MAX(('Inspection History'!$B$6:$B$20000=$A19)*('Inspection History'!$C$6:$C$20000="Monthly Test")*('Inspection History'!$D$6:$D$20000="Pass")*('Inspection History'!$A$6:$A$20000=$D19)*ROW('Inspection History'!$A$6:$A$20000)))=0,"",INDEX('Inspection History'!$E:$E,SUMPRODUCT(MAX(('Inspection History'!$B$6:$B$20000=$A19)*('Inspection History'!$C$6:$C$20000="Monthly Test")*('Inspection History'!$D$6:$D$20000="Pass")*('Inspection History'!$A$6:$A$20000=$D19)*ROW('Inspection History'!$A$6:$A$20000))))&amp;""))</f>
        <v/>
      </c>
    </row>
    <row r="20" customFormat="false" ht="14.25" hidden="false" customHeight="true" outlineLevel="0" collapsed="false">
      <c r="A20" s="23" t="s">
        <v>26</v>
      </c>
      <c r="B20" s="30" t="s">
        <v>20</v>
      </c>
      <c r="C20" s="13" t="s">
        <v>162</v>
      </c>
      <c r="D20" s="25" t="n">
        <f aca="false">IF(_xlfn.MAXIFS('Inspection History'!$A$6:$A$20000,'Inspection History'!$B$6:$B$20000,$A20,'Inspection History'!$C$6:$C$20000,"Monthly Test",'Inspection History'!$D$6:$D$20000,"Pass")=0,"",_xlfn.MAXIFS('Inspection History'!$A$6:$A$20000,'Inspection History'!$B$6:$B$20000,$A20,'Inspection History'!$C$6:$C$20000,"Monthly Test",'Inspection History'!$D$6:$D$20000,"Pass"))</f>
        <v>46301</v>
      </c>
      <c r="E20" s="25" t="n">
        <f aca="false">IF($D20="","",$D20+Intervals!$C$7)</f>
        <v>46331</v>
      </c>
      <c r="F20" s="25" t="n">
        <f aca="false">IF(_xlfn.MAXIFS('Inspection History'!$A$6:$A$20000,'Inspection History'!$B$6:$B$20000,$A20,'Inspection History'!$C$6:$C$20000,"Annual Test",'Inspection History'!$D$6:$D$20000,"Pass")=0,"",_xlfn.MAXIFS('Inspection History'!$A$6:$A$20000,'Inspection History'!$B$6:$B$20000,$A20,'Inspection History'!$C$6:$C$20000,"Annual Test",'Inspection History'!$D$6:$D$20000,"Pass"))</f>
        <v>46071</v>
      </c>
      <c r="G20" s="25" t="n">
        <f aca="false">IF($F20="","",EDATE($F20,Intervals!$C$8))</f>
        <v>46436</v>
      </c>
      <c r="H20" s="13" t="str">
        <f aca="false">IF(COUNT($E20,$G20)=0,"—",IF(MIN($E20,$G20)=$E20,"Monthly function test","Annual 90-minute test"))</f>
        <v>Monthly function test</v>
      </c>
      <c r="I20" s="26" t="n">
        <f aca="true">IF(COUNT($E20,$G20)=0,"",MIN($E20,$G20)-TODAY())</f>
        <v>10</v>
      </c>
      <c r="J20" s="23" t="str">
        <f aca="false">IF($I20="","NOT LOGGED",IF($I20&lt;=0,"OVERDUE",IF($I20&lt;=Intervals!$C$26,"DUE SOON","OK")))</f>
        <v>OK</v>
      </c>
      <c r="K20" s="24"/>
      <c r="L20" s="27" t="str">
        <f aca="false">IF($D20="","",IF(SUMPRODUCT(MAX(('Inspection History'!$B$6:$B$20000=$A20)*('Inspection History'!$C$6:$C$20000="Monthly Test")*('Inspection History'!$D$6:$D$20000="Pass")*('Inspection History'!$A$6:$A$20000=$D20)*ROW('Inspection History'!$A$6:$A$20000)))=0,"",INDEX('Inspection History'!$E:$E,SUMPRODUCT(MAX(('Inspection History'!$B$6:$B$20000=$A20)*('Inspection History'!$C$6:$C$20000="Monthly Test")*('Inspection History'!$D$6:$D$20000="Pass")*('Inspection History'!$A$6:$A$20000=$D20)*ROW('Inspection History'!$A$6:$A$20000))))&amp;""))</f>
        <v/>
      </c>
    </row>
    <row r="21" customFormat="false" ht="14.25" hidden="false" customHeight="true" outlineLevel="0" collapsed="false">
      <c r="A21" s="23" t="s">
        <v>27</v>
      </c>
      <c r="B21" s="30" t="s">
        <v>15</v>
      </c>
      <c r="C21" s="13" t="s">
        <v>202</v>
      </c>
      <c r="D21" s="25" t="n">
        <f aca="false">IF(_xlfn.MAXIFS('Inspection History'!$A$6:$A$20000,'Inspection History'!$B$6:$B$20000,$A21,'Inspection History'!$C$6:$C$20000,"Monthly Test",'Inspection History'!$D$6:$D$20000,"Pass")=0,"",_xlfn.MAXIFS('Inspection History'!$A$6:$A$20000,'Inspection History'!$B$6:$B$20000,$A21,'Inspection History'!$C$6:$C$20000,"Monthly Test",'Inspection History'!$D$6:$D$20000,"Pass"))</f>
        <v>46301</v>
      </c>
      <c r="E21" s="25" t="n">
        <f aca="false">IF($D21="","",$D21+Intervals!$C$7)</f>
        <v>46331</v>
      </c>
      <c r="F21" s="25" t="n">
        <f aca="false">IF(_xlfn.MAXIFS('Inspection History'!$A$6:$A$20000,'Inspection History'!$B$6:$B$20000,$A21,'Inspection History'!$C$6:$C$20000,"Annual Test",'Inspection History'!$D$6:$D$20000,"Pass")=0,"",_xlfn.MAXIFS('Inspection History'!$A$6:$A$20000,'Inspection History'!$B$6:$B$20000,$A21,'Inspection History'!$C$6:$C$20000,"Annual Test",'Inspection History'!$D$6:$D$20000,"Pass"))</f>
        <v>46071</v>
      </c>
      <c r="G21" s="25" t="n">
        <f aca="false">IF($F21="","",EDATE($F21,Intervals!$C$8))</f>
        <v>46436</v>
      </c>
      <c r="H21" s="13" t="str">
        <f aca="false">IF(COUNT($E21,$G21)=0,"—",IF(MIN($E21,$G21)=$E21,"Monthly function test","Annual 90-minute test"))</f>
        <v>Monthly function test</v>
      </c>
      <c r="I21" s="26" t="n">
        <f aca="true">IF(COUNT($E21,$G21)=0,"",MIN($E21,$G21)-TODAY())</f>
        <v>10</v>
      </c>
      <c r="J21" s="23" t="str">
        <f aca="false">IF($I21="","NOT LOGGED",IF($I21&lt;=0,"OVERDUE",IF($I21&lt;=Intervals!$C$26,"DUE SOON","OK")))</f>
        <v>OK</v>
      </c>
      <c r="K21" s="24"/>
      <c r="L21" s="27" t="str">
        <f aca="false">IF($D21="","",IF(SUMPRODUCT(MAX(('Inspection History'!$B$6:$B$20000=$A21)*('Inspection History'!$C$6:$C$20000="Monthly Test")*('Inspection History'!$D$6:$D$20000="Pass")*('Inspection History'!$A$6:$A$20000=$D21)*ROW('Inspection History'!$A$6:$A$20000)))=0,"",INDEX('Inspection History'!$E:$E,SUMPRODUCT(MAX(('Inspection History'!$B$6:$B$20000=$A21)*('Inspection History'!$C$6:$C$20000="Monthly Test")*('Inspection History'!$D$6:$D$20000="Pass")*('Inspection History'!$A$6:$A$20000=$D21)*ROW('Inspection History'!$A$6:$A$20000))))&amp;""))</f>
        <v/>
      </c>
    </row>
    <row r="22" customFormat="false" ht="14.25" hidden="false" customHeight="true" outlineLevel="0" collapsed="false">
      <c r="A22" s="23" t="s">
        <v>28</v>
      </c>
      <c r="B22" s="30" t="s">
        <v>23</v>
      </c>
      <c r="C22" s="13" t="s">
        <v>165</v>
      </c>
      <c r="D22" s="25" t="n">
        <f aca="false">IF(_xlfn.MAXIFS('Inspection History'!$A$6:$A$20000,'Inspection History'!$B$6:$B$20000,$A22,'Inspection History'!$C$6:$C$20000,"Monthly Test",'Inspection History'!$D$6:$D$20000,"Pass")=0,"",_xlfn.MAXIFS('Inspection History'!$A$6:$A$20000,'Inspection History'!$B$6:$B$20000,$A22,'Inspection History'!$C$6:$C$20000,"Monthly Test",'Inspection History'!$D$6:$D$20000,"Pass"))</f>
        <v>46301</v>
      </c>
      <c r="E22" s="25" t="n">
        <f aca="false">IF($D22="","",$D22+Intervals!$C$7)</f>
        <v>46331</v>
      </c>
      <c r="F22" s="25" t="n">
        <f aca="false">IF(_xlfn.MAXIFS('Inspection History'!$A$6:$A$20000,'Inspection History'!$B$6:$B$20000,$A22,'Inspection History'!$C$6:$C$20000,"Annual Test",'Inspection History'!$D$6:$D$20000,"Pass")=0,"",_xlfn.MAXIFS('Inspection History'!$A$6:$A$20000,'Inspection History'!$B$6:$B$20000,$A22,'Inspection History'!$C$6:$C$20000,"Annual Test",'Inspection History'!$D$6:$D$20000,"Pass"))</f>
        <v>46071</v>
      </c>
      <c r="G22" s="25" t="n">
        <f aca="false">IF($F22="","",EDATE($F22,Intervals!$C$8))</f>
        <v>46436</v>
      </c>
      <c r="H22" s="13" t="str">
        <f aca="false">IF(COUNT($E22,$G22)=0,"—",IF(MIN($E22,$G22)=$E22,"Monthly function test","Annual 90-minute test"))</f>
        <v>Monthly function test</v>
      </c>
      <c r="I22" s="26" t="n">
        <f aca="true">IF(COUNT($E22,$G22)=0,"",MIN($E22,$G22)-TODAY())</f>
        <v>10</v>
      </c>
      <c r="J22" s="23" t="str">
        <f aca="false">IF($I22="","NOT LOGGED",IF($I22&lt;=0,"OVERDUE",IF($I22&lt;=Intervals!$C$26,"DUE SOON","OK")))</f>
        <v>OK</v>
      </c>
      <c r="K22" s="24"/>
      <c r="L22" s="27" t="str">
        <f aca="false">IF($D22="","",IF(SUMPRODUCT(MAX(('Inspection History'!$B$6:$B$20000=$A22)*('Inspection History'!$C$6:$C$20000="Monthly Test")*('Inspection History'!$D$6:$D$20000="Pass")*('Inspection History'!$A$6:$A$20000=$D22)*ROW('Inspection History'!$A$6:$A$20000)))=0,"",INDEX('Inspection History'!$E:$E,SUMPRODUCT(MAX(('Inspection History'!$B$6:$B$20000=$A22)*('Inspection History'!$C$6:$C$20000="Monthly Test")*('Inspection History'!$D$6:$D$20000="Pass")*('Inspection History'!$A$6:$A$20000=$D22)*ROW('Inspection History'!$A$6:$A$20000))))&amp;""))</f>
        <v/>
      </c>
    </row>
    <row r="23" customFormat="false" ht="14.25" hidden="false" customHeight="true" outlineLevel="0" collapsed="false">
      <c r="A23" s="23" t="s">
        <v>29</v>
      </c>
      <c r="B23" s="30" t="s">
        <v>25</v>
      </c>
      <c r="C23" s="13" t="s">
        <v>175</v>
      </c>
      <c r="D23" s="25" t="n">
        <f aca="false">IF(_xlfn.MAXIFS('Inspection History'!$A$6:$A$20000,'Inspection History'!$B$6:$B$20000,$A23,'Inspection History'!$C$6:$C$20000,"Monthly Test",'Inspection History'!$D$6:$D$20000,"Pass")=0,"",_xlfn.MAXIFS('Inspection History'!$A$6:$A$20000,'Inspection History'!$B$6:$B$20000,$A23,'Inspection History'!$C$6:$C$20000,"Monthly Test",'Inspection History'!$D$6:$D$20000,"Pass"))</f>
        <v>46301</v>
      </c>
      <c r="E23" s="25" t="n">
        <f aca="false">IF($D23="","",$D23+Intervals!$C$7)</f>
        <v>46331</v>
      </c>
      <c r="F23" s="25" t="n">
        <f aca="false">IF(_xlfn.MAXIFS('Inspection History'!$A$6:$A$20000,'Inspection History'!$B$6:$B$20000,$A23,'Inspection History'!$C$6:$C$20000,"Annual Test",'Inspection History'!$D$6:$D$20000,"Pass")=0,"",_xlfn.MAXIFS('Inspection History'!$A$6:$A$20000,'Inspection History'!$B$6:$B$20000,$A23,'Inspection History'!$C$6:$C$20000,"Annual Test",'Inspection History'!$D$6:$D$20000,"Pass"))</f>
        <v>46071</v>
      </c>
      <c r="G23" s="25" t="n">
        <f aca="false">IF($F23="","",EDATE($F23,Intervals!$C$8))</f>
        <v>46436</v>
      </c>
      <c r="H23" s="13" t="str">
        <f aca="false">IF(COUNT($E23,$G23)=0,"—",IF(MIN($E23,$G23)=$E23,"Monthly function test","Annual 90-minute test"))</f>
        <v>Monthly function test</v>
      </c>
      <c r="I23" s="26" t="n">
        <f aca="true">IF(COUNT($E23,$G23)=0,"",MIN($E23,$G23)-TODAY())</f>
        <v>10</v>
      </c>
      <c r="J23" s="23" t="str">
        <f aca="false">IF($I23="","NOT LOGGED",IF($I23&lt;=0,"OVERDUE",IF($I23&lt;=Intervals!$C$26,"DUE SOON","OK")))</f>
        <v>OK</v>
      </c>
      <c r="K23" s="24"/>
      <c r="L23" s="27" t="str">
        <f aca="false">IF($D23="","",IF(SUMPRODUCT(MAX(('Inspection History'!$B$6:$B$20000=$A23)*('Inspection History'!$C$6:$C$20000="Monthly Test")*('Inspection History'!$D$6:$D$20000="Pass")*('Inspection History'!$A$6:$A$20000=$D23)*ROW('Inspection History'!$A$6:$A$20000)))=0,"",INDEX('Inspection History'!$E:$E,SUMPRODUCT(MAX(('Inspection History'!$B$6:$B$20000=$A23)*('Inspection History'!$C$6:$C$20000="Monthly Test")*('Inspection History'!$D$6:$D$20000="Pass")*('Inspection History'!$A$6:$A$20000=$D23)*ROW('Inspection History'!$A$6:$A$20000))))&amp;""))</f>
        <v/>
      </c>
    </row>
    <row r="24" customFormat="false" ht="14.25" hidden="false" customHeight="true" outlineLevel="0" collapsed="false">
      <c r="A24" s="23" t="s">
        <v>30</v>
      </c>
      <c r="B24" s="30" t="s">
        <v>24</v>
      </c>
      <c r="C24" s="13" t="s">
        <v>174</v>
      </c>
      <c r="D24" s="25" t="n">
        <f aca="false">IF(_xlfn.MAXIFS('Inspection History'!$A$6:$A$20000,'Inspection History'!$B$6:$B$20000,$A24,'Inspection History'!$C$6:$C$20000,"Monthly Test",'Inspection History'!$D$6:$D$20000,"Pass")=0,"",_xlfn.MAXIFS('Inspection History'!$A$6:$A$20000,'Inspection History'!$B$6:$B$20000,$A24,'Inspection History'!$C$6:$C$20000,"Monthly Test",'Inspection History'!$D$6:$D$20000,"Pass"))</f>
        <v>46301</v>
      </c>
      <c r="E24" s="25" t="n">
        <f aca="false">IF($D24="","",$D24+Intervals!$C$7)</f>
        <v>46331</v>
      </c>
      <c r="F24" s="25" t="n">
        <f aca="false">IF(_xlfn.MAXIFS('Inspection History'!$A$6:$A$20000,'Inspection History'!$B$6:$B$20000,$A24,'Inspection History'!$C$6:$C$20000,"Annual Test",'Inspection History'!$D$6:$D$20000,"Pass")=0,"",_xlfn.MAXIFS('Inspection History'!$A$6:$A$20000,'Inspection History'!$B$6:$B$20000,$A24,'Inspection History'!$C$6:$C$20000,"Annual Test",'Inspection History'!$D$6:$D$20000,"Pass"))</f>
        <v>46071</v>
      </c>
      <c r="G24" s="25" t="n">
        <f aca="false">IF($F24="","",EDATE($F24,Intervals!$C$8))</f>
        <v>46436</v>
      </c>
      <c r="H24" s="13" t="str">
        <f aca="false">IF(COUNT($E24,$G24)=0,"—",IF(MIN($E24,$G24)=$E24,"Monthly function test","Annual 90-minute test"))</f>
        <v>Monthly function test</v>
      </c>
      <c r="I24" s="26" t="n">
        <f aca="true">IF(COUNT($E24,$G24)=0,"",MIN($E24,$G24)-TODAY())</f>
        <v>10</v>
      </c>
      <c r="J24" s="23" t="str">
        <f aca="false">IF($I24="","NOT LOGGED",IF($I24&lt;=0,"OVERDUE",IF($I24&lt;=Intervals!$C$26,"DUE SOON","OK")))</f>
        <v>OK</v>
      </c>
      <c r="K24" s="24"/>
      <c r="L24" s="27" t="str">
        <f aca="false">IF($D24="","",IF(SUMPRODUCT(MAX(('Inspection History'!$B$6:$B$20000=$A24)*('Inspection History'!$C$6:$C$20000="Monthly Test")*('Inspection History'!$D$6:$D$20000="Pass")*('Inspection History'!$A$6:$A$20000=$D24)*ROW('Inspection History'!$A$6:$A$20000)))=0,"",INDEX('Inspection History'!$E:$E,SUMPRODUCT(MAX(('Inspection History'!$B$6:$B$20000=$A24)*('Inspection History'!$C$6:$C$20000="Monthly Test")*('Inspection History'!$D$6:$D$20000="Pass")*('Inspection History'!$A$6:$A$20000=$D24)*ROW('Inspection History'!$A$6:$A$20000))))&amp;""))</f>
        <v/>
      </c>
    </row>
    <row r="25" customFormat="false" ht="14.25" hidden="false" customHeight="true" outlineLevel="0" collapsed="false">
      <c r="A25" s="23" t="s">
        <v>31</v>
      </c>
      <c r="B25" s="30" t="s">
        <v>26</v>
      </c>
      <c r="C25" s="13" t="s">
        <v>203</v>
      </c>
      <c r="D25" s="25" t="n">
        <f aca="false">IF(_xlfn.MAXIFS('Inspection History'!$A$6:$A$20000,'Inspection History'!$B$6:$B$20000,$A25,'Inspection History'!$C$6:$C$20000,"Monthly Test",'Inspection History'!$D$6:$D$20000,"Pass")=0,"",_xlfn.MAXIFS('Inspection History'!$A$6:$A$20000,'Inspection History'!$B$6:$B$20000,$A25,'Inspection History'!$C$6:$C$20000,"Monthly Test",'Inspection History'!$D$6:$D$20000,"Pass"))</f>
        <v>46301</v>
      </c>
      <c r="E25" s="25" t="n">
        <f aca="false">IF($D25="","",$D25+Intervals!$C$7)</f>
        <v>46331</v>
      </c>
      <c r="F25" s="25" t="n">
        <f aca="false">IF(_xlfn.MAXIFS('Inspection History'!$A$6:$A$20000,'Inspection History'!$B$6:$B$20000,$A25,'Inspection History'!$C$6:$C$20000,"Annual Test",'Inspection History'!$D$6:$D$20000,"Pass")=0,"",_xlfn.MAXIFS('Inspection History'!$A$6:$A$20000,'Inspection History'!$B$6:$B$20000,$A25,'Inspection History'!$C$6:$C$20000,"Annual Test",'Inspection History'!$D$6:$D$20000,"Pass"))</f>
        <v>46071</v>
      </c>
      <c r="G25" s="25" t="n">
        <f aca="false">IF($F25="","",EDATE($F25,Intervals!$C$8))</f>
        <v>46436</v>
      </c>
      <c r="H25" s="13" t="str">
        <f aca="false">IF(COUNT($E25,$G25)=0,"—",IF(MIN($E25,$G25)=$E25,"Monthly function test","Annual 90-minute test"))</f>
        <v>Monthly function test</v>
      </c>
      <c r="I25" s="26" t="n">
        <f aca="true">IF(COUNT($E25,$G25)=0,"",MIN($E25,$G25)-TODAY())</f>
        <v>10</v>
      </c>
      <c r="J25" s="23" t="str">
        <f aca="false">IF($I25="","NOT LOGGED",IF($I25&lt;=0,"OVERDUE",IF($I25&lt;=Intervals!$C$26,"DUE SOON","OK")))</f>
        <v>OK</v>
      </c>
      <c r="K25" s="24"/>
      <c r="L25" s="27" t="str">
        <f aca="false">IF($D25="","",IF(SUMPRODUCT(MAX(('Inspection History'!$B$6:$B$20000=$A25)*('Inspection History'!$C$6:$C$20000="Monthly Test")*('Inspection History'!$D$6:$D$20000="Pass")*('Inspection History'!$A$6:$A$20000=$D25)*ROW('Inspection History'!$A$6:$A$20000)))=0,"",INDEX('Inspection History'!$E:$E,SUMPRODUCT(MAX(('Inspection History'!$B$6:$B$20000=$A25)*('Inspection History'!$C$6:$C$20000="Monthly Test")*('Inspection History'!$D$6:$D$20000="Pass")*('Inspection History'!$A$6:$A$20000=$D25)*ROW('Inspection History'!$A$6:$A$20000))))&amp;""))</f>
        <v/>
      </c>
    </row>
    <row r="26" customFormat="false" ht="14.25" hidden="false" customHeight="true" outlineLevel="0" collapsed="false">
      <c r="A26" s="23" t="s">
        <v>32</v>
      </c>
      <c r="B26" s="30" t="s">
        <v>27</v>
      </c>
      <c r="C26" s="13" t="s">
        <v>204</v>
      </c>
      <c r="D26" s="25" t="n">
        <f aca="false">IF(_xlfn.MAXIFS('Inspection History'!$A$6:$A$20000,'Inspection History'!$B$6:$B$20000,$A26,'Inspection History'!$C$6:$C$20000,"Monthly Test",'Inspection History'!$D$6:$D$20000,"Pass")=0,"",_xlfn.MAXIFS('Inspection History'!$A$6:$A$20000,'Inspection History'!$B$6:$B$20000,$A26,'Inspection History'!$C$6:$C$20000,"Monthly Test",'Inspection History'!$D$6:$D$20000,"Pass"))</f>
        <v>46301</v>
      </c>
      <c r="E26" s="25" t="n">
        <f aca="false">IF($D26="","",$D26+Intervals!$C$7)</f>
        <v>46331</v>
      </c>
      <c r="F26" s="25" t="n">
        <f aca="false">IF(_xlfn.MAXIFS('Inspection History'!$A$6:$A$20000,'Inspection History'!$B$6:$B$20000,$A26,'Inspection History'!$C$6:$C$20000,"Annual Test",'Inspection History'!$D$6:$D$20000,"Pass")=0,"",_xlfn.MAXIFS('Inspection History'!$A$6:$A$20000,'Inspection History'!$B$6:$B$20000,$A26,'Inspection History'!$C$6:$C$20000,"Annual Test",'Inspection History'!$D$6:$D$20000,"Pass"))</f>
        <v>46071</v>
      </c>
      <c r="G26" s="25" t="n">
        <f aca="false">IF($F26="","",EDATE($F26,Intervals!$C$8))</f>
        <v>46436</v>
      </c>
      <c r="H26" s="13" t="str">
        <f aca="false">IF(COUNT($E26,$G26)=0,"—",IF(MIN($E26,$G26)=$E26,"Monthly function test","Annual 90-minute test"))</f>
        <v>Monthly function test</v>
      </c>
      <c r="I26" s="26" t="n">
        <f aca="true">IF(COUNT($E26,$G26)=0,"",MIN($E26,$G26)-TODAY())</f>
        <v>10</v>
      </c>
      <c r="J26" s="23" t="str">
        <f aca="false">IF($I26="","NOT LOGGED",IF($I26&lt;=0,"OVERDUE",IF($I26&lt;=Intervals!$C$26,"DUE SOON","OK")))</f>
        <v>OK</v>
      </c>
      <c r="K26" s="24"/>
      <c r="L26" s="27" t="str">
        <f aca="false">IF($D26="","",IF(SUMPRODUCT(MAX(('Inspection History'!$B$6:$B$20000=$A26)*('Inspection History'!$C$6:$C$20000="Monthly Test")*('Inspection History'!$D$6:$D$20000="Pass")*('Inspection History'!$A$6:$A$20000=$D26)*ROW('Inspection History'!$A$6:$A$20000)))=0,"",INDEX('Inspection History'!$E:$E,SUMPRODUCT(MAX(('Inspection History'!$B$6:$B$20000=$A26)*('Inspection History'!$C$6:$C$20000="Monthly Test")*('Inspection History'!$D$6:$D$20000="Pass")*('Inspection History'!$A$6:$A$20000=$D26)*ROW('Inspection History'!$A$6:$A$20000))))&amp;""))</f>
        <v/>
      </c>
    </row>
    <row r="27" customFormat="false" ht="14.25" hidden="false" customHeight="true" outlineLevel="0" collapsed="false">
      <c r="A27" s="23" t="s">
        <v>33</v>
      </c>
      <c r="B27" s="30" t="s">
        <v>193</v>
      </c>
      <c r="C27" s="13" t="s">
        <v>205</v>
      </c>
      <c r="D27" s="25" t="n">
        <f aca="false">IF(_xlfn.MAXIFS('Inspection History'!$A$6:$A$20000,'Inspection History'!$B$6:$B$20000,$A27,'Inspection History'!$C$6:$C$20000,"Monthly Test",'Inspection History'!$D$6:$D$20000,"Pass")=0,"",_xlfn.MAXIFS('Inspection History'!$A$6:$A$20000,'Inspection History'!$B$6:$B$20000,$A27,'Inspection History'!$C$6:$C$20000,"Monthly Test",'Inspection History'!$D$6:$D$20000,"Pass"))</f>
        <v>46301</v>
      </c>
      <c r="E27" s="25" t="n">
        <f aca="false">IF($D27="","",$D27+Intervals!$C$7)</f>
        <v>46331</v>
      </c>
      <c r="F27" s="25" t="n">
        <f aca="false">IF(_xlfn.MAXIFS('Inspection History'!$A$6:$A$20000,'Inspection History'!$B$6:$B$20000,$A27,'Inspection History'!$C$6:$C$20000,"Annual Test",'Inspection History'!$D$6:$D$20000,"Pass")=0,"",_xlfn.MAXIFS('Inspection History'!$A$6:$A$20000,'Inspection History'!$B$6:$B$20000,$A27,'Inspection History'!$C$6:$C$20000,"Annual Test",'Inspection History'!$D$6:$D$20000,"Pass"))</f>
        <v>46071</v>
      </c>
      <c r="G27" s="25" t="n">
        <f aca="false">IF($F27="","",EDATE($F27,Intervals!$C$8))</f>
        <v>46436</v>
      </c>
      <c r="H27" s="13" t="str">
        <f aca="false">IF(COUNT($E27,$G27)=0,"—",IF(MIN($E27,$G27)=$E27,"Monthly function test","Annual 90-minute test"))</f>
        <v>Monthly function test</v>
      </c>
      <c r="I27" s="26" t="n">
        <f aca="true">IF(COUNT($E27,$G27)=0,"",MIN($E27,$G27)-TODAY())</f>
        <v>10</v>
      </c>
      <c r="J27" s="23" t="str">
        <f aca="false">IF($I27="","NOT LOGGED",IF($I27&lt;=0,"OVERDUE",IF($I27&lt;=Intervals!$C$26,"DUE SOON","OK")))</f>
        <v>OK</v>
      </c>
      <c r="K27" s="24"/>
      <c r="L27" s="27" t="str">
        <f aca="false">IF($D27="","",IF(SUMPRODUCT(MAX(('Inspection History'!$B$6:$B$20000=$A27)*('Inspection History'!$C$6:$C$20000="Monthly Test")*('Inspection History'!$D$6:$D$20000="Pass")*('Inspection History'!$A$6:$A$20000=$D27)*ROW('Inspection History'!$A$6:$A$20000)))=0,"",INDEX('Inspection History'!$E:$E,SUMPRODUCT(MAX(('Inspection History'!$B$6:$B$20000=$A27)*('Inspection History'!$C$6:$C$20000="Monthly Test")*('Inspection History'!$D$6:$D$20000="Pass")*('Inspection History'!$A$6:$A$20000=$D27)*ROW('Inspection History'!$A$6:$A$20000))))&amp;""))</f>
        <v/>
      </c>
    </row>
    <row r="28" customFormat="false" ht="14.25" hidden="false" customHeight="true" outlineLevel="0" collapsed="false">
      <c r="A28" s="23" t="s">
        <v>34</v>
      </c>
      <c r="B28" s="30" t="s">
        <v>193</v>
      </c>
      <c r="C28" s="13" t="s">
        <v>206</v>
      </c>
      <c r="D28" s="25" t="n">
        <f aca="false">IF(_xlfn.MAXIFS('Inspection History'!$A$6:$A$20000,'Inspection History'!$B$6:$B$20000,$A28,'Inspection History'!$C$6:$C$20000,"Monthly Test",'Inspection History'!$D$6:$D$20000,"Pass")=0,"",_xlfn.MAXIFS('Inspection History'!$A$6:$A$20000,'Inspection History'!$B$6:$B$20000,$A28,'Inspection History'!$C$6:$C$20000,"Monthly Test",'Inspection History'!$D$6:$D$20000,"Pass"))</f>
        <v>46301</v>
      </c>
      <c r="E28" s="25" t="n">
        <f aca="false">IF($D28="","",$D28+Intervals!$C$7)</f>
        <v>46331</v>
      </c>
      <c r="F28" s="25" t="n">
        <f aca="false">IF(_xlfn.MAXIFS('Inspection History'!$A$6:$A$20000,'Inspection History'!$B$6:$B$20000,$A28,'Inspection History'!$C$6:$C$20000,"Annual Test",'Inspection History'!$D$6:$D$20000,"Pass")=0,"",_xlfn.MAXIFS('Inspection History'!$A$6:$A$20000,'Inspection History'!$B$6:$B$20000,$A28,'Inspection History'!$C$6:$C$20000,"Annual Test",'Inspection History'!$D$6:$D$20000,"Pass"))</f>
        <v>46071</v>
      </c>
      <c r="G28" s="25" t="n">
        <f aca="false">IF($F28="","",EDATE($F28,Intervals!$C$8))</f>
        <v>46436</v>
      </c>
      <c r="H28" s="13" t="str">
        <f aca="false">IF(COUNT($E28,$G28)=0,"—",IF(MIN($E28,$G28)=$E28,"Monthly function test","Annual 90-minute test"))</f>
        <v>Monthly function test</v>
      </c>
      <c r="I28" s="26" t="n">
        <f aca="true">IF(COUNT($E28,$G28)=0,"",MIN($E28,$G28)-TODAY())</f>
        <v>10</v>
      </c>
      <c r="J28" s="23" t="str">
        <f aca="false">IF($I28="","NOT LOGGED",IF($I28&lt;=0,"OVERDUE",IF($I28&lt;=Intervals!$C$26,"DUE SOON","OK")))</f>
        <v>OK</v>
      </c>
      <c r="K28" s="24"/>
      <c r="L28" s="27" t="str">
        <f aca="false">IF($D28="","",IF(SUMPRODUCT(MAX(('Inspection History'!$B$6:$B$20000=$A28)*('Inspection History'!$C$6:$C$20000="Monthly Test")*('Inspection History'!$D$6:$D$20000="Pass")*('Inspection History'!$A$6:$A$20000=$D28)*ROW('Inspection History'!$A$6:$A$20000)))=0,"",INDEX('Inspection History'!$E:$E,SUMPRODUCT(MAX(('Inspection History'!$B$6:$B$20000=$A28)*('Inspection History'!$C$6:$C$20000="Monthly Test")*('Inspection History'!$D$6:$D$20000="Pass")*('Inspection History'!$A$6:$A$20000=$D28)*ROW('Inspection History'!$A$6:$A$20000))))&amp;""))</f>
        <v/>
      </c>
    </row>
    <row r="30" customFormat="false" ht="14.25" hidden="false" customHeight="true" outlineLevel="0" collapsed="false">
      <c r="A30" s="17" t="s">
        <v>207</v>
      </c>
    </row>
    <row r="31" customFormat="false" ht="14.25" hidden="false" customHeight="true" outlineLevel="0" collapsed="false">
      <c r="A31" s="17" t="s">
        <v>208</v>
      </c>
    </row>
    <row r="32" customFormat="false" ht="14.25" hidden="false" customHeight="true" outlineLevel="0" collapsed="false">
      <c r="A32" s="17" t="s">
        <v>209</v>
      </c>
    </row>
  </sheetData>
  <mergeCells count="3">
    <mergeCell ref="A1:L1"/>
    <mergeCell ref="A2:L2"/>
    <mergeCell ref="A3:L3"/>
  </mergeCells>
  <conditionalFormatting sqref="J6:J28">
    <cfRule type="cellIs" priority="2" operator="equal" aboveAverage="0" equalAverage="0" bottom="0" percent="0" rank="0" text="" dxfId="1">
      <formula>"OK"</formula>
    </cfRule>
    <cfRule type="cellIs" priority="3" operator="equal" aboveAverage="0" equalAverage="0" bottom="0" percent="0" rank="0" text="" dxfId="2">
      <formula>"DUE SOON"</formula>
    </cfRule>
    <cfRule type="cellIs" priority="4" operator="equal" aboveAverage="0" equalAverage="0" bottom="0" percent="0" rank="0" text="" dxfId="3">
      <formula>"OVERDUE"</formula>
    </cfRule>
    <cfRule type="cellIs" priority="5" operator="equal" aboveAverage="0" equalAverage="0" bottom="0" percent="0" rank="0" text="" dxfId="4">
      <formula>"NOT LOGGED"</formula>
    </cfRule>
  </conditionalFormatting>
  <conditionalFormatting sqref="E6:E28">
    <cfRule type="expression" priority="6" aboveAverage="0" equalAverage="0" bottom="0" percent="0" rank="0" text="" dxfId="3">
      <formula>AND(ISNUMBER(E6),E6&lt;=TODAY())</formula>
    </cfRule>
    <cfRule type="expression" priority="7" aboveAverage="0" equalAverage="0" bottom="0" percent="0" rank="0" text="" dxfId="2">
      <formula>AND(ISNUMBER(E6),E6&lt;=TODAY()+60)</formula>
    </cfRule>
  </conditionalFormatting>
  <conditionalFormatting sqref="G6:G28">
    <cfRule type="expression" priority="8" aboveAverage="0" equalAverage="0" bottom="0" percent="0" rank="0" text="" dxfId="3">
      <formula>AND(ISNUMBER(G6),G6&lt;=TODAY())</formula>
    </cfRule>
    <cfRule type="expression" priority="9" aboveAverage="0" equalAverage="0" bottom="0" percent="0" rank="0" text="" dxfId="2">
      <formula>AND(ISNUMBER(G6),G6&lt;=TODAY()+60)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E6" activeCellId="0" sqref="E6"/>
    </sheetView>
  </sheetViews>
  <sheetFormatPr defaultColWidth="8.6328125" defaultRowHeight="14.25" zeroHeight="false" outlineLevelRow="0" outlineLevelCol="0"/>
  <cols>
    <col collapsed="false" customWidth="true" hidden="false" outlineLevel="0" max="1" min="1" style="8" width="7"/>
    <col collapsed="false" customWidth="true" hidden="false" outlineLevel="0" max="2" min="2" style="8" width="34"/>
    <col collapsed="false" customWidth="true" hidden="false" outlineLevel="0" max="3" min="3" style="8" width="26"/>
    <col collapsed="false" customWidth="true" hidden="false" outlineLevel="0" max="5" min="4" style="8" width="13"/>
    <col collapsed="false" customWidth="true" hidden="false" outlineLevel="0" max="7" min="6" style="8" width="15"/>
    <col collapsed="false" customWidth="true" hidden="false" outlineLevel="0" max="9" min="8" style="8" width="13"/>
    <col collapsed="false" customWidth="true" hidden="false" outlineLevel="0" max="10" min="10" style="8" width="19"/>
    <col collapsed="false" customWidth="true" hidden="false" outlineLevel="0" max="11" min="11" style="8" width="10"/>
    <col collapsed="false" customWidth="true" hidden="false" outlineLevel="0" max="12" min="12" style="8" width="13"/>
    <col collapsed="false" customWidth="true" hidden="false" outlineLevel="0" max="13" min="13" style="8" width="26"/>
    <col collapsed="false" customWidth="true" hidden="false" outlineLevel="0" max="14" min="14" style="8" width="15"/>
  </cols>
  <sheetData>
    <row r="1" customFormat="false" ht="18" hidden="false" customHeight="true" outlineLevel="0" collapsed="false">
      <c r="A1" s="19" t="s">
        <v>210</v>
      </c>
      <c r="B1" s="19"/>
      <c r="C1" s="19"/>
      <c r="D1" s="19"/>
      <c r="E1" s="19"/>
      <c r="F1" s="19"/>
      <c r="G1" s="19"/>
      <c r="H1" s="19"/>
      <c r="I1" s="19"/>
      <c r="J1" s="19"/>
      <c r="K1" s="19"/>
      <c r="L1" s="19"/>
      <c r="M1" s="19"/>
      <c r="N1" s="19"/>
    </row>
    <row r="2" customFormat="false" ht="30" hidden="false" customHeight="true" outlineLevel="0" collapsed="false">
      <c r="A2" s="20" t="s">
        <v>211</v>
      </c>
      <c r="B2" s="20"/>
      <c r="C2" s="20"/>
      <c r="D2" s="20"/>
      <c r="E2" s="20"/>
      <c r="F2" s="20"/>
      <c r="G2" s="20"/>
      <c r="H2" s="20"/>
      <c r="I2" s="20"/>
      <c r="J2" s="20"/>
      <c r="K2" s="20"/>
      <c r="L2" s="20"/>
      <c r="M2" s="20"/>
      <c r="N2" s="20"/>
    </row>
    <row r="3" customFormat="false" ht="25.5" hidden="false" customHeight="true" outlineLevel="0" collapsed="false">
      <c r="A3" s="3" t="s">
        <v>212</v>
      </c>
      <c r="B3" s="3"/>
      <c r="C3" s="3"/>
      <c r="D3" s="3"/>
      <c r="E3" s="3"/>
      <c r="F3" s="3"/>
      <c r="G3" s="3"/>
      <c r="H3" s="3"/>
      <c r="I3" s="3"/>
      <c r="J3" s="3"/>
      <c r="K3" s="3"/>
      <c r="L3" s="3"/>
      <c r="M3" s="3"/>
      <c r="N3" s="3"/>
    </row>
    <row r="5" customFormat="false" ht="33.75" hidden="false" customHeight="true" outlineLevel="0" collapsed="false">
      <c r="A5" s="21" t="s">
        <v>213</v>
      </c>
      <c r="B5" s="21" t="s">
        <v>143</v>
      </c>
      <c r="C5" s="21" t="s">
        <v>144</v>
      </c>
      <c r="D5" s="21" t="s">
        <v>214</v>
      </c>
      <c r="E5" s="21" t="s">
        <v>215</v>
      </c>
      <c r="F5" s="21" t="s">
        <v>216</v>
      </c>
      <c r="G5" s="21" t="s">
        <v>217</v>
      </c>
      <c r="H5" s="21" t="s">
        <v>218</v>
      </c>
      <c r="I5" s="21" t="s">
        <v>219</v>
      </c>
      <c r="J5" s="21" t="s">
        <v>153</v>
      </c>
      <c r="K5" s="21" t="s">
        <v>154</v>
      </c>
      <c r="L5" s="21" t="s">
        <v>155</v>
      </c>
      <c r="M5" s="21" t="s">
        <v>8</v>
      </c>
      <c r="N5" s="21" t="s">
        <v>157</v>
      </c>
    </row>
    <row r="6" customFormat="false" ht="14.25" hidden="false" customHeight="true" outlineLevel="0" collapsed="false">
      <c r="A6" s="28" t="s">
        <v>64</v>
      </c>
      <c r="B6" s="29" t="s">
        <v>220</v>
      </c>
      <c r="C6" s="24" t="s">
        <v>118</v>
      </c>
      <c r="D6" s="25" t="n">
        <f aca="false">IF(_xlfn.MAXIFS('Inspection History'!$A$6:$A$20000,'Inspection History'!$B$6:$B$20000,$A6,'Inspection History'!$C$6:$C$20000,"Weekly Check",'Inspection History'!$D$6:$D$20000,"Pass")=0,"",_xlfn.MAXIFS('Inspection History'!$A$6:$A$20000,'Inspection History'!$B$6:$B$20000,$A6,'Inspection History'!$C$6:$C$20000,"Weekly Check",'Inspection History'!$D$6:$D$20000,"Pass"))</f>
        <v>46321</v>
      </c>
      <c r="E6" s="25" t="n">
        <f aca="false">IF($D6="","",$D6+Intervals!$C$9)</f>
        <v>46328</v>
      </c>
      <c r="F6" s="25" t="n">
        <f aca="false">IF(_xlfn.MAXIFS('Inspection History'!$A$6:$A$20000,'Inspection History'!$B$6:$B$20000,$A6,'Inspection History'!$C$6:$C$20000,"Annual Inspection",'Inspection History'!$D$6:$D$20000,"Pass")=0,"",_xlfn.MAXIFS('Inspection History'!$A$6:$A$20000,'Inspection History'!$B$6:$B$20000,$A6,'Inspection History'!$C$6:$C$20000,"Annual Inspection",'Inspection History'!$D$6:$D$20000,"Pass"))</f>
        <v>46255</v>
      </c>
      <c r="G6" s="25" t="n">
        <f aca="false">IF($F6="","",EDATE($F6,Intervals!$C$10))</f>
        <v>46620</v>
      </c>
      <c r="H6" s="25" t="str">
        <f aca="false">IF(_xlfn.MAXIFS('Inspection History'!$A$6:$A$20000,'Inspection History'!$B$6:$B$20000,$A6,'Inspection History'!$C$6:$C$20000,"Fluid Change",'Inspection History'!$D$6:$D$20000,"Pass")=0,"",_xlfn.MAXIFS('Inspection History'!$A$6:$A$20000,'Inspection History'!$B$6:$B$20000,$A6,'Inspection History'!$C$6:$C$20000,"Fluid Change",'Inspection History'!$D$6:$D$20000,"Pass"))</f>
        <v/>
      </c>
      <c r="I6" s="25" t="str">
        <f aca="false">IF($C6="","",IF(INDEX(Intervals!$B$22:$B$24,MATCH($C6,Intervals!$A$22:$A$24,0))=0,"N/A",IF($H6="","",EDATE($H6,INDEX(Intervals!$B$22:$B$24,MATCH($C6,Intervals!$A$22:$A$24,0))))))</f>
        <v>N/A</v>
      </c>
      <c r="J6" s="13" t="str">
        <f aca="false">IF(COUNT($E6,$G6,$I6)=0,"—",IF(MIN($E6,$G6,$I6)=$E6,"Weekly activation",IF(MIN($E6,$G6,$I6)=$G6,"Annual inspection","Fluid change")))</f>
        <v>Weekly activation</v>
      </c>
      <c r="K6" s="26" t="n">
        <f aca="true">IF(COUNT($E6,$G6,$I6)=0,"",MIN($E6,$G6,$I6)-TODAY())</f>
        <v>7</v>
      </c>
      <c r="L6" s="23" t="str">
        <f aca="false">IF($K6="","NOT LOGGED",IF($K6&lt;=0,"OVERDUE",IF($K6&lt;=Intervals!$C$27,"DUE SOON","OK")))</f>
        <v>OK</v>
      </c>
      <c r="M6" s="24"/>
      <c r="N6" s="27" t="str">
        <f aca="false">IF($D6="","",IF(SUMPRODUCT(MAX(('Inspection History'!$B$6:$B$20000=$A6)*('Inspection History'!$C$6:$C$20000="Weekly Check")*('Inspection History'!$D$6:$D$20000="Pass")*('Inspection History'!$A$6:$A$20000=$D6)*ROW('Inspection History'!$A$6:$A$20000)))=0,"",INDEX('Inspection History'!$E:$E,SUMPRODUCT(MAX(('Inspection History'!$B$6:$B$20000=$A6)*('Inspection History'!$C$6:$C$20000="Weekly Check")*('Inspection History'!$D$6:$D$20000="Pass")*('Inspection History'!$A$6:$A$20000=$D6)*ROW('Inspection History'!$A$6:$A$20000))))&amp;""))</f>
        <v>J. Godek</v>
      </c>
    </row>
    <row r="7" customFormat="false" ht="14.25" hidden="false" customHeight="true" outlineLevel="0" collapsed="false">
      <c r="A7" s="28" t="s">
        <v>60</v>
      </c>
      <c r="B7" s="29" t="inlineStr">
        <is>
          <t xml:space="preserve">One column (about 20 ft) from the hi-lo battery chargers, which sit on the column between the 610 and 720 Ton</t>
        </is>
      </c>
      <c r="C7" s="24" t="s">
        <v>120</v>
      </c>
      <c r="D7" s="25" t="n">
        <f aca="false">IF(_xlfn.MAXIFS('Inspection History'!$A$6:$A$20000,'Inspection History'!$B$6:$B$20000,$A7,'Inspection History'!$C$6:$C$20000,"Weekly Check",'Inspection History'!$D$6:$D$20000,"Pass")=0,"",_xlfn.MAXIFS('Inspection History'!$A$6:$A$20000,'Inspection History'!$B$6:$B$20000,$A7,'Inspection History'!$C$6:$C$20000,"Weekly Check",'Inspection History'!$D$6:$D$20000,"Pass"))</f>
        <v>46321</v>
      </c>
      <c r="E7" s="25" t="n">
        <f aca="false">IF($D7="","",$D7+Intervals!$C$9)</f>
        <v>46328</v>
      </c>
      <c r="F7" s="25" t="n">
        <f aca="false">IF(_xlfn.MAXIFS('Inspection History'!$A$6:$A$20000,'Inspection History'!$B$6:$B$20000,$A7,'Inspection History'!$C$6:$C$20000,"Annual Inspection",'Inspection History'!$D$6:$D$20000,"Pass")=0,"",_xlfn.MAXIFS('Inspection History'!$A$6:$A$20000,'Inspection History'!$B$6:$B$20000,$A7,'Inspection History'!$C$6:$C$20000,"Annual Inspection",'Inspection History'!$D$6:$D$20000,"Pass"))</f>
        <v>46314</v>
      </c>
      <c r="G7" s="25" t="n">
        <f aca="false">IF($F7="","",EDATE($F7,Intervals!$C$10))</f>
        <v>46679</v>
      </c>
      <c r="H7" s="25" t="n">
        <f aca="false">IF(_xlfn.MAXIFS('Inspection History'!$A$6:$A$20000,'Inspection History'!$B$6:$B$20000,$A7,'Inspection History'!$C$6:$C$20000,"Fluid Change",'Inspection History'!$D$6:$D$20000,"Pass")=0,"",_xlfn.MAXIFS('Inspection History'!$A$6:$A$20000,'Inspection History'!$B$6:$B$20000,$A7,'Inspection History'!$C$6:$C$20000,"Fluid Change",'Inspection History'!$D$6:$D$20000,"Pass"))</f>
        <v>46314</v>
      </c>
      <c r="I7" s="25" t="n">
        <f aca="false">IF($C7="","",IF(INDEX(Intervals!$B$22:$B$24,MATCH($C7,Intervals!$A$22:$A$24,0))=0,"N/A",IF($H7="","",EDATE($H7,INDEX(Intervals!$B$22:$B$24,MATCH($C7,Intervals!$A$22:$A$24,0))))))</f>
        <v>46679</v>
      </c>
      <c r="J7" s="13" t="str">
        <f aca="false">IF(COUNT($E7,$G7,$I7)=0,"—",IF(MIN($E7,$G7,$I7)=$E7,"Weekly activation",IF(MIN($E7,$G7,$I7)=$G7,"Annual inspection","Fluid change")))</f>
        <v>Weekly activation</v>
      </c>
      <c r="K7" s="26" t="n">
        <f aca="true">IF(COUNT($E7,$G7,$I7)=0,"",MIN($E7,$G7,$I7)-TODAY())</f>
        <v>7</v>
      </c>
      <c r="L7" s="23" t="str">
        <f aca="false">IF($K7="","NOT LOGGED",IF($K7&lt;=0,"OVERDUE",IF($K7&lt;=Intervals!$C$27,"DUE SOON","OK")))</f>
        <v>OK</v>
      </c>
      <c r="M7" s="24" t="inlineStr">
        <is>
          <t xml:space="preserve">Gravit-Eye gravity-fed self-contained eyewash, installed 10/19/2026 in place of the squeeze bottles. Filled on site; delivers the full 15-minute flush required by ANSI Z358.1. Mounted one column (about 20 ft) from the hi-lo battery chargers.</t>
        </is>
      </c>
      <c r="N7" s="27" t="str">
        <f aca="false">IF($D7="","",IF(SUMPRODUCT(MAX(('Inspection History'!$B$6:$B$20000=$A7)*('Inspection History'!$C$6:$C$20000="Weekly Check")*('Inspection History'!$D$6:$D$20000="Pass")*('Inspection History'!$A$6:$A$20000=$D7)*ROW('Inspection History'!$A$6:$A$20000)))=0,"",INDEX('Inspection History'!$E:$E,SUMPRODUCT(MAX(('Inspection History'!$B$6:$B$20000=$A7)*('Inspection History'!$C$6:$C$20000="Weekly Check")*('Inspection History'!$D$6:$D$20000="Pass")*('Inspection History'!$A$6:$A$20000=$D7)*ROW('Inspection History'!$A$6:$A$20000))))&amp;""))</f>
        <v>J. Godek</v>
      </c>
    </row>
    <row r="8" customFormat="false" ht="14.25" hidden="false" customHeight="true" outlineLevel="0" collapsed="false">
      <c r="A8" s="28" t="s">
        <v>65</v>
      </c>
      <c r="B8" s="29" t="s">
        <v>174</v>
      </c>
      <c r="C8" s="24" t="s">
        <v>118</v>
      </c>
      <c r="D8" s="25" t="n">
        <f aca="false">IF(_xlfn.MAXIFS('Inspection History'!$A$6:$A$20000,'Inspection History'!$B$6:$B$20000,$A8,'Inspection History'!$C$6:$C$20000,"Weekly Check",'Inspection History'!$D$6:$D$20000,"Pass")=0,"",_xlfn.MAXIFS('Inspection History'!$A$6:$A$20000,'Inspection History'!$B$6:$B$20000,$A8,'Inspection History'!$C$6:$C$20000,"Weekly Check",'Inspection History'!$D$6:$D$20000,"Pass"))</f>
        <v>46321</v>
      </c>
      <c r="E8" s="25" t="n">
        <f aca="false">IF($D8="","",$D8+Intervals!$C$9)</f>
        <v>46328</v>
      </c>
      <c r="F8" s="25" t="n">
        <f aca="false">IF(_xlfn.MAXIFS('Inspection History'!$A$6:$A$20000,'Inspection History'!$B$6:$B$20000,$A8,'Inspection History'!$C$6:$C$20000,"Annual Inspection",'Inspection History'!$D$6:$D$20000,"Pass")=0,"",_xlfn.MAXIFS('Inspection History'!$A$6:$A$20000,'Inspection History'!$B$6:$B$20000,$A8,'Inspection History'!$C$6:$C$20000,"Annual Inspection",'Inspection History'!$D$6:$D$20000,"Pass"))</f>
        <v>46255</v>
      </c>
      <c r="G8" s="25" t="n">
        <f aca="false">IF($F8="","",EDATE($F8,Intervals!$C$10))</f>
        <v>46620</v>
      </c>
      <c r="H8" s="25" t="str">
        <f aca="false">IF(_xlfn.MAXIFS('Inspection History'!$A$6:$A$20000,'Inspection History'!$B$6:$B$20000,$A8,'Inspection History'!$C$6:$C$20000,"Fluid Change",'Inspection History'!$D$6:$D$20000,"Pass")=0,"",_xlfn.MAXIFS('Inspection History'!$A$6:$A$20000,'Inspection History'!$B$6:$B$20000,$A8,'Inspection History'!$C$6:$C$20000,"Fluid Change",'Inspection History'!$D$6:$D$20000,"Pass"))</f>
        <v/>
      </c>
      <c r="I8" s="25" t="str">
        <f aca="false">IF($C8="","",IF(INDEX(Intervals!$B$22:$B$24,MATCH($C8,Intervals!$A$22:$A$24,0))=0,"N/A",IF($H8="","",EDATE($H8,INDEX(Intervals!$B$22:$B$24,MATCH($C8,Intervals!$A$22:$A$24,0))))))</f>
        <v>N/A</v>
      </c>
      <c r="J8" s="13" t="str">
        <f aca="false">IF(COUNT($E8,$G8,$I8)=0,"—",IF(MIN($E8,$G8,$I8)=$E8,"Weekly activation",IF(MIN($E8,$G8,$I8)=$G8,"Annual inspection","Fluid change")))</f>
        <v>Weekly activation</v>
      </c>
      <c r="K8" s="26" t="n">
        <f aca="true">IF(COUNT($E8,$G8,$I8)=0,"",MIN($E8,$G8,$I8)-TODAY())</f>
        <v>7</v>
      </c>
      <c r="L8" s="23" t="str">
        <f aca="false">IF($K8="","NOT LOGGED",IF($K8&lt;=0,"OVERDUE",IF($K8&lt;=Intervals!$C$27,"DUE SOON","OK")))</f>
        <v>OK</v>
      </c>
      <c r="M8" s="24"/>
      <c r="N8" s="27" t="str">
        <f aca="false">IF($D8="","",IF(SUMPRODUCT(MAX(('Inspection History'!$B$6:$B$20000=$A8)*('Inspection History'!$C$6:$C$20000="Weekly Check")*('Inspection History'!$D$6:$D$20000="Pass")*('Inspection History'!$A$6:$A$20000=$D8)*ROW('Inspection History'!$A$6:$A$20000)))=0,"",INDEX('Inspection History'!$E:$E,SUMPRODUCT(MAX(('Inspection History'!$B$6:$B$20000=$A8)*('Inspection History'!$C$6:$C$20000="Weekly Check")*('Inspection History'!$D$6:$D$20000="Pass")*('Inspection History'!$A$6:$A$20000=$D8)*ROW('Inspection History'!$A$6:$A$20000))))&amp;""))</f>
        <v>J. Godek</v>
      </c>
    </row>
    <row r="9" customFormat="false" ht="14.25" hidden="false" customHeight="true" outlineLevel="0" collapsed="false">
      <c r="A9" s="28" t="s">
        <v>66</v>
      </c>
      <c r="B9" s="29" t="s">
        <v>223</v>
      </c>
      <c r="C9" s="24" t="s">
        <v>118</v>
      </c>
      <c r="D9" s="25" t="n">
        <f aca="false">IF(_xlfn.MAXIFS('Inspection History'!$A$6:$A$20000,'Inspection History'!$B$6:$B$20000,$A9,'Inspection History'!$C$6:$C$20000,"Weekly Check",'Inspection History'!$D$6:$D$20000,"Pass")=0,"",_xlfn.MAXIFS('Inspection History'!$A$6:$A$20000,'Inspection History'!$B$6:$B$20000,$A9,'Inspection History'!$C$6:$C$20000,"Weekly Check",'Inspection History'!$D$6:$D$20000,"Pass"))</f>
        <v>46321</v>
      </c>
      <c r="E9" s="25" t="n">
        <f aca="false">IF($D9="","",$D9+Intervals!$C$9)</f>
        <v>46328</v>
      </c>
      <c r="F9" s="25" t="n">
        <f aca="false">IF(_xlfn.MAXIFS('Inspection History'!$A$6:$A$20000,'Inspection History'!$B$6:$B$20000,$A9,'Inspection History'!$C$6:$C$20000,"Annual Inspection",'Inspection History'!$D$6:$D$20000,"Pass")=0,"",_xlfn.MAXIFS('Inspection History'!$A$6:$A$20000,'Inspection History'!$B$6:$B$20000,$A9,'Inspection History'!$C$6:$C$20000,"Annual Inspection",'Inspection History'!$D$6:$D$20000,"Pass"))</f>
        <v>46255</v>
      </c>
      <c r="G9" s="25" t="n">
        <f aca="false">IF($F9="","",EDATE($F9,Intervals!$C$10))</f>
        <v>46620</v>
      </c>
      <c r="H9" s="25" t="str">
        <f aca="false">IF(_xlfn.MAXIFS('Inspection History'!$A$6:$A$20000,'Inspection History'!$B$6:$B$20000,$A9,'Inspection History'!$C$6:$C$20000,"Fluid Change",'Inspection History'!$D$6:$D$20000,"Pass")=0,"",_xlfn.MAXIFS('Inspection History'!$A$6:$A$20000,'Inspection History'!$B$6:$B$20000,$A9,'Inspection History'!$C$6:$C$20000,"Fluid Change",'Inspection History'!$D$6:$D$20000,"Pass"))</f>
        <v/>
      </c>
      <c r="I9" s="25" t="str">
        <f aca="false">IF($C9="","",IF(INDEX(Intervals!$B$22:$B$24,MATCH($C9,Intervals!$A$22:$A$24,0))=0,"N/A",IF($H9="","",EDATE($H9,INDEX(Intervals!$B$22:$B$24,MATCH($C9,Intervals!$A$22:$A$24,0))))))</f>
        <v>N/A</v>
      </c>
      <c r="J9" s="13" t="str">
        <f aca="false">IF(COUNT($E9,$G9,$I9)=0,"—",IF(MIN($E9,$G9,$I9)=$E9,"Weekly activation",IF(MIN($E9,$G9,$I9)=$G9,"Annual inspection","Fluid change")))</f>
        <v>Weekly activation</v>
      </c>
      <c r="K9" s="26" t="n">
        <f aca="true">IF(COUNT($E9,$G9,$I9)=0,"",MIN($E9,$G9,$I9)-TODAY())</f>
        <v>7</v>
      </c>
      <c r="L9" s="23" t="str">
        <f aca="false">IF($K9="","NOT LOGGED",IF($K9&lt;=0,"OVERDUE",IF($K9&lt;=Intervals!$C$27,"DUE SOON","OK")))</f>
        <v>OK</v>
      </c>
      <c r="M9" s="24"/>
      <c r="N9" s="27" t="str">
        <f aca="false">IF($D9="","",IF(SUMPRODUCT(MAX(('Inspection History'!$B$6:$B$20000=$A9)*('Inspection History'!$C$6:$C$20000="Weekly Check")*('Inspection History'!$D$6:$D$20000="Pass")*('Inspection History'!$A$6:$A$20000=$D9)*ROW('Inspection History'!$A$6:$A$20000)))=0,"",INDEX('Inspection History'!$E:$E,SUMPRODUCT(MAX(('Inspection History'!$B$6:$B$20000=$A9)*('Inspection History'!$C$6:$C$20000="Weekly Check")*('Inspection History'!$D$6:$D$20000="Pass")*('Inspection History'!$A$6:$A$20000=$D9)*ROW('Inspection History'!$A$6:$A$20000))))&amp;""))</f>
        <v>J. Godek</v>
      </c>
    </row>
    <row r="10" customFormat="false" ht="14.25" hidden="false" customHeight="true" outlineLevel="0" collapsed="false">
      <c r="A10" s="28" t="s">
        <v>74</v>
      </c>
      <c r="B10" s="29" t="s">
        <v>224</v>
      </c>
      <c r="C10" s="24" t="s">
        <v>120</v>
      </c>
      <c r="D10" s="25" t="n">
        <f aca="false">IF(_xlfn.MAXIFS('Inspection History'!$A$6:$A$20000,'Inspection History'!$B$6:$B$20000,$A10,'Inspection History'!$C$6:$C$20000,"Weekly Check",'Inspection History'!$D$6:$D$20000,"Pass")=0,"",_xlfn.MAXIFS('Inspection History'!$A$6:$A$20000,'Inspection History'!$B$6:$B$20000,$A10,'Inspection History'!$C$6:$C$20000,"Weekly Check",'Inspection History'!$D$6:$D$20000,"Pass"))</f>
        <v>46321</v>
      </c>
      <c r="E10" s="25" t="n">
        <f aca="false">IF($D10="","",$D10+Intervals!$C$9)</f>
        <v>46328</v>
      </c>
      <c r="F10" s="25" t="n">
        <f aca="false">IF(_xlfn.MAXIFS('Inspection History'!$A$6:$A$20000,'Inspection History'!$B$6:$B$20000,$A10,'Inspection History'!$C$6:$C$20000,"Annual Inspection",'Inspection History'!$D$6:$D$20000,"Pass")=0,"",_xlfn.MAXIFS('Inspection History'!$A$6:$A$20000,'Inspection History'!$B$6:$B$20000,$A10,'Inspection History'!$C$6:$C$20000,"Annual Inspection",'Inspection History'!$D$6:$D$20000,"Pass"))</f>
        <v>46314</v>
      </c>
      <c r="G10" s="25" t="n">
        <f aca="false">IF($F10="","",EDATE($F10,Intervals!$C$10))</f>
        <v>46679</v>
      </c>
      <c r="H10" s="25" t="n">
        <f aca="false">IF(_xlfn.MAXIFS('Inspection History'!$A$6:$A$20000,'Inspection History'!$B$6:$B$20000,$A10,'Inspection History'!$C$6:$C$20000,"Fluid Change",'Inspection History'!$D$6:$D$20000,"Pass")=0,"",_xlfn.MAXIFS('Inspection History'!$A$6:$A$20000,'Inspection History'!$B$6:$B$20000,$A10,'Inspection History'!$C$6:$C$20000,"Fluid Change",'Inspection History'!$D$6:$D$20000,"Pass"))</f>
        <v>46314</v>
      </c>
      <c r="I10" s="25" t="n">
        <f aca="false">IF($C10="","",IF(INDEX(Intervals!$B$22:$B$24,MATCH($C10,Intervals!$A$22:$A$24,0))=0,"N/A",IF($H10="","",EDATE($H10,INDEX(Intervals!$B$22:$B$24,MATCH($C10,Intervals!$A$22:$A$24,0))))))</f>
        <v>46679</v>
      </c>
      <c r="J10" s="13" t="str">
        <f aca="false">IF(COUNT($E10,$G10,$I10)=0,"—",IF(MIN($E10,$G10,$I10)=$E10,"Weekly activation",IF(MIN($E10,$G10,$I10)=$G10,"Annual inspection","Fluid change")))</f>
        <v>Weekly activation</v>
      </c>
      <c r="K10" s="26" t="n">
        <f aca="true">IF(COUNT($E10,$G10,$I10)=0,"",MIN($E10,$G10,$I10)-TODAY())</f>
        <v>7</v>
      </c>
      <c r="L10" s="23" t="str">
        <f aca="false">IF($K10="","NOT LOGGED",IF($K10&lt;=0,"OVERDUE",IF($K10&lt;=Intervals!$C$27,"DUE SOON","OK")))</f>
        <v>OK</v>
      </c>
      <c r="M10" s="24" t="s">
        <v>225</v>
      </c>
      <c r="N10" s="27" t="str">
        <f aca="false">IF($D10="","",IF(SUMPRODUCT(MAX(('Inspection History'!$B$6:$B$20000=$A10)*('Inspection History'!$C$6:$C$20000="Weekly Check")*('Inspection History'!$D$6:$D$20000="Pass")*('Inspection History'!$A$6:$A$20000=$D10)*ROW('Inspection History'!$A$6:$A$20000)))=0,"",INDEX('Inspection History'!$E:$E,SUMPRODUCT(MAX(('Inspection History'!$B$6:$B$20000=$A10)*('Inspection History'!$C$6:$C$20000="Weekly Check")*('Inspection History'!$D$6:$D$20000="Pass")*('Inspection History'!$A$6:$A$20000=$D10)*ROW('Inspection History'!$A$6:$A$20000))))&amp;""))</f>
        <v>J. Godek</v>
      </c>
    </row>
    <row r="11" customFormat="false" ht="14.25" hidden="false" customHeight="true" outlineLevel="0" collapsed="false">
      <c r="A11" s="17"/>
    </row>
    <row r="12" customFormat="false" ht="14.25" hidden="false" customHeight="true" outlineLevel="0" collapsed="false">
      <c r="A12" s="17" t="s">
        <v>226</v>
      </c>
    </row>
    <row r="13" customFormat="false" ht="14.25" hidden="false" customHeight="true" outlineLevel="0" collapsed="false">
      <c r="A13" s="17" t="s">
        <v>227</v>
      </c>
    </row>
    <row r="14" customFormat="false" ht="14.25" hidden="false" customHeight="true" outlineLevel="0" collapsed="false">
      <c r="A14" s="17" t="s">
        <v>228</v>
      </c>
    </row>
  </sheetData>
  <mergeCells count="3">
    <mergeCell ref="A1:N1"/>
    <mergeCell ref="A2:N2"/>
    <mergeCell ref="A3:N3"/>
  </mergeCells>
  <conditionalFormatting sqref="L6:L10">
    <cfRule type="cellIs" priority="2" operator="equal" aboveAverage="0" equalAverage="0" bottom="0" percent="0" rank="0" text="" dxfId="1">
      <formula>"OK"</formula>
    </cfRule>
    <cfRule type="cellIs" priority="3" operator="equal" aboveAverage="0" equalAverage="0" bottom="0" percent="0" rank="0" text="" dxfId="2">
      <formula>"DUE SOON"</formula>
    </cfRule>
    <cfRule type="cellIs" priority="4" operator="equal" aboveAverage="0" equalAverage="0" bottom="0" percent="0" rank="0" text="" dxfId="3">
      <formula>"OVERDUE"</formula>
    </cfRule>
    <cfRule type="cellIs" priority="5" operator="equal" aboveAverage="0" equalAverage="0" bottom="0" percent="0" rank="0" text="" dxfId="4">
      <formula>"NOT LOGGED"</formula>
    </cfRule>
  </conditionalFormatting>
  <conditionalFormatting sqref="E6:E10">
    <cfRule type="expression" priority="6" aboveAverage="0" equalAverage="0" bottom="0" percent="0" rank="0" text="" dxfId="3">
      <formula>AND(ISNUMBER(E6),E6&lt;=TODAY())</formula>
    </cfRule>
    <cfRule type="expression" priority="7" aboveAverage="0" equalAverage="0" bottom="0" percent="0" rank="0" text="" dxfId="2">
      <formula>AND(ISNUMBER(E6),E6&lt;=TODAY()+60)</formula>
    </cfRule>
  </conditionalFormatting>
  <conditionalFormatting sqref="G6:G10">
    <cfRule type="expression" priority="8" aboveAverage="0" equalAverage="0" bottom="0" percent="0" rank="0" text="" dxfId="3">
      <formula>AND(ISNUMBER(G6),G6&lt;=TODAY())</formula>
    </cfRule>
    <cfRule type="expression" priority="9" aboveAverage="0" equalAverage="0" bottom="0" percent="0" rank="0" text="" dxfId="2">
      <formula>AND(ISNUMBER(G6),G6&lt;=TODAY()+60)</formula>
    </cfRule>
  </conditionalFormatting>
  <conditionalFormatting sqref="I6:I10">
    <cfRule type="expression" priority="10" aboveAverage="0" equalAverage="0" bottom="0" percent="0" rank="0" text="" dxfId="3">
      <formula>AND(ISNUMBER(I6),I6&lt;=TODAY())</formula>
    </cfRule>
    <cfRule type="expression" priority="11" aboveAverage="0" equalAverage="0" bottom="0" percent="0" rank="0" text="" dxfId="2">
      <formula>AND(ISNUMBER(I6),I6&lt;=TODAY()+60)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F7" activeCellId="0" sqref="F7"/>
    </sheetView>
  </sheetViews>
  <sheetFormatPr defaultColWidth="8.6328125" defaultRowHeight="14.25" zeroHeight="false" outlineLevelRow="0" outlineLevelCol="0"/>
  <cols>
    <col collapsed="false" customWidth="true" hidden="false" outlineLevel="0" max="1" min="1" style="8" width="7"/>
    <col collapsed="false" customWidth="true" hidden="false" outlineLevel="0" max="2" min="2" style="8" width="40"/>
    <col collapsed="false" customWidth="true" hidden="false" outlineLevel="0" max="3" min="3" style="8" width="15"/>
    <col collapsed="false" customWidth="true" hidden="false" outlineLevel="0" max="4" min="4" style="8" width="17"/>
    <col collapsed="false" customWidth="true" hidden="false" outlineLevel="0" max="6" min="5" style="8" width="15"/>
    <col collapsed="false" customWidth="true" hidden="false" outlineLevel="0" max="7" min="7" style="8" width="14"/>
    <col collapsed="false" customWidth="true" hidden="false" outlineLevel="0" max="8" min="8" style="8" width="15"/>
    <col collapsed="false" customWidth="true" hidden="false" outlineLevel="0" max="9" min="9" style="8" width="13"/>
    <col collapsed="false" customWidth="true" hidden="false" outlineLevel="0" max="10" min="10" style="8" width="14"/>
    <col collapsed="false" customWidth="true" hidden="false" outlineLevel="0" max="11" min="11" style="8" width="21"/>
    <col collapsed="false" customWidth="true" hidden="false" outlineLevel="0" max="12" min="12" style="8" width="13"/>
    <col collapsed="false" customWidth="true" hidden="false" outlineLevel="0" max="14" min="14" style="8" width="30"/>
    <col collapsed="false" customWidth="true" hidden="false" outlineLevel="0" max="15" min="15" style="8" width="15"/>
  </cols>
  <sheetData>
    <row r="1" customFormat="false" ht="18" hidden="false" customHeight="true" outlineLevel="0" collapsed="false">
      <c r="A1" s="19" t="s">
        <v>229</v>
      </c>
      <c r="B1" s="19"/>
      <c r="C1" s="19"/>
      <c r="D1" s="19"/>
      <c r="E1" s="19"/>
      <c r="F1" s="19"/>
      <c r="G1" s="19"/>
      <c r="H1" s="19"/>
      <c r="I1" s="19"/>
      <c r="J1" s="19"/>
      <c r="K1" s="19"/>
      <c r="L1" s="19"/>
      <c r="M1" s="19"/>
      <c r="N1" s="19"/>
      <c r="O1" s="19"/>
    </row>
    <row r="2" customFormat="false" ht="39.75" hidden="false" customHeight="true" outlineLevel="0" collapsed="false">
      <c r="A2" s="32" t="s">
        <v>230</v>
      </c>
      <c r="B2" s="32"/>
      <c r="C2" s="32"/>
      <c r="D2" s="32"/>
      <c r="E2" s="32"/>
      <c r="F2" s="32"/>
      <c r="G2" s="32"/>
      <c r="H2" s="32"/>
      <c r="I2" s="32"/>
      <c r="J2" s="32"/>
      <c r="K2" s="32"/>
      <c r="L2" s="32"/>
      <c r="M2" s="32"/>
      <c r="N2" s="32"/>
      <c r="O2" s="32"/>
    </row>
    <row r="3" customFormat="false" ht="39.75" hidden="false" customHeight="true" outlineLevel="0" collapsed="false">
      <c r="A3" s="33" t="s">
        <v>231</v>
      </c>
      <c r="B3" s="33"/>
      <c r="C3" s="33"/>
      <c r="D3" s="33"/>
      <c r="E3" s="33"/>
      <c r="F3" s="33"/>
      <c r="G3" s="33"/>
      <c r="H3" s="33"/>
      <c r="I3" s="33"/>
      <c r="J3" s="33"/>
      <c r="K3" s="33"/>
      <c r="L3" s="33"/>
      <c r="M3" s="33"/>
      <c r="N3" s="33"/>
      <c r="O3" s="33"/>
    </row>
    <row r="5" customFormat="false" ht="33.75" hidden="false" customHeight="true" outlineLevel="0" collapsed="false">
      <c r="A5" s="22" t="s">
        <v>232</v>
      </c>
      <c r="B5" s="22" t="s">
        <v>143</v>
      </c>
      <c r="C5" s="22" t="s">
        <v>233</v>
      </c>
      <c r="D5" s="22" t="s">
        <v>234</v>
      </c>
      <c r="E5" s="22" t="s">
        <v>235</v>
      </c>
      <c r="F5" s="22" t="s">
        <v>236</v>
      </c>
      <c r="G5" s="22" t="s">
        <v>237</v>
      </c>
      <c r="H5" s="22" t="s">
        <v>238</v>
      </c>
      <c r="I5" s="22" t="s">
        <v>239</v>
      </c>
      <c r="J5" s="22" t="s">
        <v>240</v>
      </c>
      <c r="K5" s="22" t="s">
        <v>153</v>
      </c>
      <c r="L5" s="22" t="s">
        <v>154</v>
      </c>
      <c r="M5" s="22" t="s">
        <v>155</v>
      </c>
      <c r="N5" s="22" t="s">
        <v>8</v>
      </c>
      <c r="O5" s="22" t="s">
        <v>157</v>
      </c>
    </row>
    <row r="6" customFormat="false" ht="68.25" hidden="false" customHeight="true" outlineLevel="0" collapsed="false">
      <c r="A6" s="34" t="s">
        <v>69</v>
      </c>
      <c r="B6" s="35" t="s">
        <v>241</v>
      </c>
      <c r="C6" s="36" t="s">
        <v>242</v>
      </c>
      <c r="D6" s="36" t="s">
        <v>243</v>
      </c>
      <c r="E6" s="37" t="n">
        <f aca="false">IF(_xlfn.MAXIFS('Inspection History'!$A$6:$A$20000,'Inspection History'!$B$6:$B$20000,$A6,'Inspection History'!$C$6:$C$20000,"Readiness Check",'Inspection History'!$D$6:$D$20000,"Pass")=0,"",_xlfn.MAXIFS('Inspection History'!$A$6:$A$20000,'Inspection History'!$B$6:$B$20000,$A6,'Inspection History'!$C$6:$C$20000,"Readiness Check",'Inspection History'!$D$6:$D$20000,"Pass"))</f>
        <v>46321</v>
      </c>
      <c r="F6" s="38" t="n">
        <f aca="false">IF($E6="","",$E6+Intervals!$C$34)</f>
        <v>46351</v>
      </c>
      <c r="G6" s="38" t="n">
        <f aca="false">IF($H6="","",EDATE($H6,-Intervals!$C$35))</f>
        <v>46143</v>
      </c>
      <c r="H6" s="5" t="n">
        <v>47969</v>
      </c>
      <c r="I6" s="38" t="n">
        <f aca="false">IF($J6="","",EDATE($J6,-Intervals!$C$36))</f>
        <v>45914</v>
      </c>
      <c r="J6" s="5" t="n">
        <v>47740</v>
      </c>
      <c r="K6" s="36" t="str">
        <f aca="false">IF(COUNT($F6,$H6,$J6)=0,"—",IF(MIN($F6,$H6,$J6)=$F6,"Readiness check",IF(MIN($F6,$H6,$J6)=$H6,"Battery replacement","Pad replacement")))</f>
        <v>Readiness check</v>
      </c>
      <c r="L6" s="36" t="n">
        <f aca="true">IF(COUNT($F6,$H6,$J6)=0,"",MIN($F6,$H6,$J6)-TODAY())</f>
        <v>30</v>
      </c>
      <c r="M6" s="36" t="str">
        <f aca="false">IF($L6="","NOT LOGGED",IF($L6&lt;=0,"OVERDUE",IF($L6&lt;=IF(MIN($F6,$H6,$J6)=$F6,Intervals!$C$26,Intervals!$C$38),"DUE SOON","OK")))</f>
        <v>OK</v>
      </c>
      <c r="N6" s="39" t="inlineStr">
        <is>
          <t xml:space="preserve">PlusTrac record X25G370264, "Shipping Office Area", licensed PlusRx (license expires 02/18/2027), monthly interval. Model confirmed as ZOLL AED 3 (resolved 10/29/2026). Battery pack SN AU24LAD3904, label INSTALL BY 12/20/2026.</t>
        </is>
      </c>
      <c r="O6" s="27" t="str">
        <f aca="false">IF($E6="","",IF(SUMPRODUCT(MAX(('Inspection History'!$B$6:$B$20000=$A6)*('Inspection History'!$C$6:$C$20000="Readiness Check")*('Inspection History'!$D$6:$D$20000="Pass")*('Inspection History'!$A$6:$A$20000=$E6)*ROW('Inspection History'!$A$6:$A$20000)))=0,"",INDEX('Inspection History'!$E:$E,SUMPRODUCT(MAX(('Inspection History'!$B$6:$B$20000=$A6)*('Inspection History'!$C$6:$C$20000="Readiness Check")*('Inspection History'!$D$6:$D$20000="Pass")*('Inspection History'!$A$6:$A$20000=$E6)*ROW('Inspection History'!$A$6:$A$20000))))&amp;""))</f>
        <v>J. Godek</v>
      </c>
    </row>
    <row r="7" customFormat="false" ht="68.25" hidden="false" customHeight="true" outlineLevel="0" collapsed="false">
      <c r="A7" s="34" t="s">
        <v>71</v>
      </c>
      <c r="B7" s="35" t="s">
        <v>245</v>
      </c>
      <c r="C7" s="36" t="s">
        <v>242</v>
      </c>
      <c r="D7" s="36" t="s">
        <v>246</v>
      </c>
      <c r="E7" s="37" t="n">
        <f aca="false">IF(_xlfn.MAXIFS('Inspection History'!$A$6:$A$20000,'Inspection History'!$B$6:$B$20000,$A7,'Inspection History'!$C$6:$C$20000,"Readiness Check",'Inspection History'!$D$6:$D$20000,"Pass")=0,"",_xlfn.MAXIFS('Inspection History'!$A$6:$A$20000,'Inspection History'!$B$6:$B$20000,$A7,'Inspection History'!$C$6:$C$20000,"Readiness Check",'Inspection History'!$D$6:$D$20000,"Pass"))</f>
        <v>46321</v>
      </c>
      <c r="F7" s="38" t="n">
        <f aca="false">IF($E7="","",$E7+Intervals!$C$34)</f>
        <v>46351</v>
      </c>
      <c r="G7" s="38" t="n">
        <f aca="false">IF($H7="","",EDATE($H7,-Intervals!$C$35))</f>
        <v>46143</v>
      </c>
      <c r="H7" s="5" t="n">
        <v>47969</v>
      </c>
      <c r="I7" s="38" t="n">
        <f aca="false">IF($J7="","",EDATE($J7,-Intervals!$C$36))</f>
        <v>45914</v>
      </c>
      <c r="J7" s="5" t="n">
        <v>47740</v>
      </c>
      <c r="K7" s="36" t="str">
        <f aca="false">IF(COUNT($F7,$H7,$J7)=0,"—",IF(MIN($F7,$H7,$J7)=$F7,"Readiness check",IF(MIN($F7,$H7,$J7)=$H7,"Battery replacement","Pad replacement")))</f>
        <v>Readiness check</v>
      </c>
      <c r="L7" s="36" t="n">
        <f aca="true">IF(COUNT($F7,$H7,$J7)=0,"",MIN($F7,$H7,$J7)-TODAY())</f>
        <v>30</v>
      </c>
      <c r="M7" s="36" t="str">
        <f aca="false">IF($L7="","NOT LOGGED",IF($L7&lt;=0,"OVERDUE",IF($L7&lt;=IF(MIN($F7,$H7,$J7)=$F7,Intervals!$C$26,Intervals!$C$38),"DUE SOON","OK")))</f>
        <v>OK</v>
      </c>
      <c r="N7" s="39" t="inlineStr">
        <is>
          <t xml:space="preserve">PlusTrac record AX25G370194, "Supervisor's Office Area", ZOLL AED 3, monthly interval. Tracked in PlusTrac and showing Compliant as of 10/29/2026 (last PlusTrac inspection 09/30/2026). Battery pack SN AU24LAD3856, label INSTALL BY 12/20/2026.</t>
        </is>
      </c>
      <c r="O7" s="27" t="str">
        <f aca="false">IF($E7="","",IF(SUMPRODUCT(MAX(('Inspection History'!$B$6:$B$20000=$A7)*('Inspection History'!$C$6:$C$20000="Readiness Check")*('Inspection History'!$D$6:$D$20000="Pass")*('Inspection History'!$A$6:$A$20000=$E7)*ROW('Inspection History'!$A$6:$A$20000)))=0,"",INDEX('Inspection History'!$E:$E,SUMPRODUCT(MAX(('Inspection History'!$B$6:$B$20000=$A7)*('Inspection History'!$C$6:$C$20000="Readiness Check")*('Inspection History'!$D$6:$D$20000="Pass")*('Inspection History'!$A$6:$A$20000=$E7)*ROW('Inspection History'!$A$6:$A$20000))))&amp;""))</f>
        <v>J. Godek</v>
      </c>
    </row>
    <row r="9" customFormat="false" ht="15" hidden="false" customHeight="true" outlineLevel="0" collapsed="false">
      <c r="A9" s="10" t="s">
        <v>248</v>
      </c>
    </row>
    <row r="10" customFormat="false" ht="15" hidden="false" customHeight="true" outlineLevel="0" collapsed="false">
      <c r="A10" s="10" t="s">
        <v>249</v>
      </c>
    </row>
  </sheetData>
  <mergeCells count="3">
    <mergeCell ref="A1:O1"/>
    <mergeCell ref="A2:O2"/>
    <mergeCell ref="A3:O3"/>
  </mergeCells>
  <conditionalFormatting sqref="M6:M7">
    <cfRule type="cellIs" priority="2" operator="equal" aboveAverage="0" equalAverage="0" bottom="0" percent="0" rank="0" text="" dxfId="1">
      <formula>"OK"</formula>
    </cfRule>
    <cfRule type="cellIs" priority="3" operator="equal" aboveAverage="0" equalAverage="0" bottom="0" percent="0" rank="0" text="" dxfId="2">
      <formula>"DUE SOON"</formula>
    </cfRule>
    <cfRule type="cellIs" priority="4" operator="equal" aboveAverage="0" equalAverage="0" bottom="0" percent="0" rank="0" text="" dxfId="3">
      <formula>"OVERDUE"</formula>
    </cfRule>
    <cfRule type="cellIs" priority="5" operator="equal" aboveAverage="0" equalAverage="0" bottom="0" percent="0" rank="0" text="" dxfId="4">
      <formula>"NOT LOGGED"</formula>
    </cfRule>
  </conditionalFormatting>
  <conditionalFormatting sqref="H6:H7">
    <cfRule type="expression" priority="6" aboveAverage="0" equalAverage="0" bottom="0" percent="0" rank="0" text="" dxfId="3">
      <formula>AND(ISNUMBER(H6),H6&lt;=TODAY())</formula>
    </cfRule>
    <cfRule type="expression" priority="7" aboveAverage="0" equalAverage="0" bottom="0" percent="0" rank="0" text="" dxfId="2">
      <formula>AND(ISNUMBER(H6),H6&lt;=TODAY()+60)</formula>
    </cfRule>
  </conditionalFormatting>
  <conditionalFormatting sqref="J6:J7">
    <cfRule type="expression" priority="8" aboveAverage="0" equalAverage="0" bottom="0" percent="0" rank="0" text="" dxfId="3">
      <formula>AND(ISNUMBER(J6),J6&lt;=TODAY())</formula>
    </cfRule>
    <cfRule type="expression" priority="9" aboveAverage="0" equalAverage="0" bottom="0" percent="0" rank="0" text="" dxfId="2">
      <formula>AND(ISNUMBER(J6),J6&lt;=TODAY()+60)</formula>
    </cfRule>
  </conditionalFormatting>
  <conditionalFormatting sqref="F6:F7">
    <cfRule type="expression" priority="10" aboveAverage="0" equalAverage="0" bottom="0" percent="0" rank="0" text="" dxfId="3">
      <formula>AND(ISNUMBER(F6),F6&lt;=TODAY())</formula>
    </cfRule>
    <cfRule type="expression" priority="11" aboveAverage="0" equalAverage="0" bottom="0" percent="0" rank="0" text="" dxfId="2">
      <formula>AND(ISNUMBER(F6),F6&lt;=TODAY()+60)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250</v>
      </c>
      <c r="B1" s="0" t="s">
        <v>251</v>
      </c>
    </row>
    <row r="2" customFormat="false" ht="15" hidden="false" customHeight="false" outlineLevel="0" collapsed="false">
      <c r="A2" s="0" t="s">
        <v>35</v>
      </c>
      <c r="B2" s="0" t="s">
        <v>67</v>
      </c>
    </row>
    <row r="3" customFormat="false" ht="15" hidden="false" customHeight="false" outlineLevel="0" collapsed="false">
      <c r="A3" s="0" t="s">
        <v>38</v>
      </c>
      <c r="B3" s="0" t="s">
        <v>36</v>
      </c>
    </row>
    <row r="4" customFormat="false" ht="15" hidden="false" customHeight="false" outlineLevel="0" collapsed="false">
      <c r="A4" s="0" t="s">
        <v>39</v>
      </c>
      <c r="B4" s="0" t="s">
        <v>252</v>
      </c>
    </row>
    <row r="5" customFormat="false" ht="15" hidden="false" customHeight="false" outlineLevel="0" collapsed="false">
      <c r="A5" s="0" t="s">
        <v>40</v>
      </c>
      <c r="B5" s="0" t="s">
        <v>253</v>
      </c>
    </row>
    <row r="6" customFormat="false" ht="15" hidden="false" customHeight="false" outlineLevel="0" collapsed="false">
      <c r="A6" s="0" t="s">
        <v>41</v>
      </c>
      <c r="B6" s="0" t="s">
        <v>72</v>
      </c>
    </row>
    <row r="7" customFormat="false" ht="15" hidden="false" customHeight="false" outlineLevel="0" collapsed="false">
      <c r="A7" s="0" t="s">
        <v>42</v>
      </c>
      <c r="B7" s="0" t="s">
        <v>10</v>
      </c>
    </row>
    <row r="8" customFormat="false" ht="15" hidden="false" customHeight="false" outlineLevel="0" collapsed="false">
      <c r="A8" s="0" t="s">
        <v>43</v>
      </c>
      <c r="B8" s="0" t="s">
        <v>68</v>
      </c>
    </row>
    <row r="9" customFormat="false" ht="15" hidden="false" customHeight="false" outlineLevel="0" collapsed="false">
      <c r="A9" s="0" t="s">
        <v>44</v>
      </c>
      <c r="B9" s="0" t="s">
        <v>61</v>
      </c>
    </row>
    <row r="10" customFormat="false" ht="15" hidden="false" customHeight="false" outlineLevel="0" collapsed="false">
      <c r="A10" s="0" t="s">
        <v>45</v>
      </c>
      <c r="B10" s="0" t="s">
        <v>63</v>
      </c>
    </row>
    <row r="11" customFormat="false" ht="15" hidden="false" customHeight="false" outlineLevel="0" collapsed="false">
      <c r="A11" s="0" t="s">
        <v>48</v>
      </c>
      <c r="B11" s="0" t="s">
        <v>70</v>
      </c>
    </row>
    <row r="12" customFormat="false" ht="15" hidden="false" customHeight="false" outlineLevel="0" collapsed="false">
      <c r="A12" s="0" t="s">
        <v>49</v>
      </c>
    </row>
    <row r="13" customFormat="false" ht="15" hidden="false" customHeight="false" outlineLevel="0" collapsed="false">
      <c r="A13" s="0" t="s">
        <v>50</v>
      </c>
    </row>
    <row r="14" customFormat="false" ht="15" hidden="false" customHeight="false" outlineLevel="0" collapsed="false">
      <c r="A14" s="0" t="s">
        <v>51</v>
      </c>
    </row>
    <row r="15" customFormat="false" ht="15" hidden="false" customHeight="false" outlineLevel="0" collapsed="false">
      <c r="A15" s="0" t="s">
        <v>52</v>
      </c>
    </row>
    <row r="16" customFormat="false" ht="15" hidden="false" customHeight="false" outlineLevel="0" collapsed="false">
      <c r="A16" s="0" t="s">
        <v>53</v>
      </c>
    </row>
    <row r="17" customFormat="false" ht="15" hidden="false" customHeight="false" outlineLevel="0" collapsed="false">
      <c r="A17" s="0" t="s">
        <v>54</v>
      </c>
    </row>
    <row r="18" customFormat="false" ht="15" hidden="false" customHeight="false" outlineLevel="0" collapsed="false">
      <c r="A18" s="0" t="s">
        <v>55</v>
      </c>
    </row>
    <row r="19" customFormat="false" ht="15" hidden="false" customHeight="false" outlineLevel="0" collapsed="false">
      <c r="A19" s="0" t="s">
        <v>56</v>
      </c>
    </row>
    <row r="20" customFormat="false" ht="15" hidden="false" customHeight="false" outlineLevel="0" collapsed="false">
      <c r="A20" s="0" t="s">
        <v>57</v>
      </c>
    </row>
    <row r="21" customFormat="false" ht="15" hidden="false" customHeight="false" outlineLevel="0" collapsed="false">
      <c r="A21" s="0" t="s">
        <v>58</v>
      </c>
    </row>
    <row r="22" customFormat="false" ht="15" hidden="false" customHeight="false" outlineLevel="0" collapsed="false">
      <c r="A22" s="0" t="s">
        <v>59</v>
      </c>
    </row>
    <row r="23" customFormat="false" ht="15" hidden="false" customHeight="false" outlineLevel="0" collapsed="false">
      <c r="A23" s="0" t="s">
        <v>9</v>
      </c>
    </row>
    <row r="24" customFormat="false" ht="15" hidden="false" customHeight="false" outlineLevel="0" collapsed="false">
      <c r="A24" s="0" t="s">
        <v>13</v>
      </c>
    </row>
    <row r="25" customFormat="false" ht="15" hidden="false" customHeight="false" outlineLevel="0" collapsed="false">
      <c r="A25" s="0" t="s">
        <v>14</v>
      </c>
    </row>
    <row r="26" customFormat="false" ht="15" hidden="false" customHeight="false" outlineLevel="0" collapsed="false">
      <c r="A26" s="0" t="s">
        <v>15</v>
      </c>
    </row>
    <row r="27" customFormat="false" ht="15" hidden="false" customHeight="false" outlineLevel="0" collapsed="false">
      <c r="A27" s="0" t="s">
        <v>16</v>
      </c>
    </row>
    <row r="28" customFormat="false" ht="15" hidden="false" customHeight="false" outlineLevel="0" collapsed="false">
      <c r="A28" s="0" t="s">
        <v>17</v>
      </c>
    </row>
    <row r="29" customFormat="false" ht="15" hidden="false" customHeight="false" outlineLevel="0" collapsed="false">
      <c r="A29" s="0" t="s">
        <v>18</v>
      </c>
    </row>
    <row r="30" customFormat="false" ht="15" hidden="false" customHeight="false" outlineLevel="0" collapsed="false">
      <c r="A30" s="0" t="s">
        <v>19</v>
      </c>
    </row>
    <row r="31" customFormat="false" ht="15" hidden="false" customHeight="false" outlineLevel="0" collapsed="false">
      <c r="A31" s="0" t="s">
        <v>20</v>
      </c>
    </row>
    <row r="32" customFormat="false" ht="15" hidden="false" customHeight="false" outlineLevel="0" collapsed="false">
      <c r="A32" s="0" t="s">
        <v>21</v>
      </c>
    </row>
    <row r="33" customFormat="false" ht="15" hidden="false" customHeight="false" outlineLevel="0" collapsed="false">
      <c r="A33" s="0" t="s">
        <v>22</v>
      </c>
    </row>
    <row r="34" customFormat="false" ht="15" hidden="false" customHeight="false" outlineLevel="0" collapsed="false">
      <c r="A34" s="0" t="s">
        <v>23</v>
      </c>
    </row>
    <row r="35" customFormat="false" ht="15" hidden="false" customHeight="false" outlineLevel="0" collapsed="false">
      <c r="A35" s="0" t="s">
        <v>24</v>
      </c>
    </row>
    <row r="36" customFormat="false" ht="15" hidden="false" customHeight="false" outlineLevel="0" collapsed="false">
      <c r="A36" s="0" t="s">
        <v>25</v>
      </c>
    </row>
    <row r="37" customFormat="false" ht="15" hidden="false" customHeight="false" outlineLevel="0" collapsed="false">
      <c r="A37" s="0" t="s">
        <v>26</v>
      </c>
    </row>
    <row r="38" customFormat="false" ht="15" hidden="false" customHeight="false" outlineLevel="0" collapsed="false">
      <c r="A38" s="0" t="s">
        <v>27</v>
      </c>
    </row>
    <row r="39" customFormat="false" ht="15" hidden="false" customHeight="false" outlineLevel="0" collapsed="false">
      <c r="A39" s="0" t="s">
        <v>28</v>
      </c>
    </row>
    <row r="40" customFormat="false" ht="15" hidden="false" customHeight="false" outlineLevel="0" collapsed="false">
      <c r="A40" s="0" t="s">
        <v>29</v>
      </c>
    </row>
    <row r="41" customFormat="false" ht="15" hidden="false" customHeight="false" outlineLevel="0" collapsed="false">
      <c r="A41" s="0" t="s">
        <v>30</v>
      </c>
    </row>
    <row r="42" customFormat="false" ht="15" hidden="false" customHeight="false" outlineLevel="0" collapsed="false">
      <c r="A42" s="0" t="s">
        <v>31</v>
      </c>
    </row>
    <row r="43" customFormat="false" ht="15" hidden="false" customHeight="false" outlineLevel="0" collapsed="false">
      <c r="A43" s="0" t="s">
        <v>32</v>
      </c>
    </row>
    <row r="44" customFormat="false" ht="15" hidden="false" customHeight="false" outlineLevel="0" collapsed="false">
      <c r="A44" s="0" t="s">
        <v>33</v>
      </c>
    </row>
    <row r="45" customFormat="false" ht="15" hidden="false" customHeight="false" outlineLevel="0" collapsed="false">
      <c r="A45" s="0" t="s">
        <v>34</v>
      </c>
    </row>
    <row r="46" customFormat="false" ht="15" hidden="false" customHeight="false" outlineLevel="0" collapsed="false">
      <c r="A46" s="0" t="s">
        <v>64</v>
      </c>
    </row>
    <row r="47" customFormat="false" ht="15" hidden="false" customHeight="false" outlineLevel="0" collapsed="false">
      <c r="A47" s="0" t="s">
        <v>60</v>
      </c>
    </row>
    <row r="48" customFormat="false" ht="15" hidden="false" customHeight="false" outlineLevel="0" collapsed="false">
      <c r="A48" s="0" t="s">
        <v>65</v>
      </c>
    </row>
    <row r="49" customFormat="false" ht="15" hidden="false" customHeight="false" outlineLevel="0" collapsed="false">
      <c r="A49" s="0" t="s">
        <v>66</v>
      </c>
    </row>
    <row r="50" customFormat="false" ht="15" hidden="false" customHeight="false" outlineLevel="0" collapsed="false">
      <c r="A50" s="0" t="s">
        <v>74</v>
      </c>
    </row>
    <row r="51" customFormat="false" ht="15" hidden="false" customHeight="false" outlineLevel="0" collapsed="false">
      <c r="A51" s="0" t="s">
        <v>69</v>
      </c>
    </row>
    <row r="52" customFormat="false" ht="15" hidden="false" customHeight="false" outlineLevel="0" collapsed="false">
      <c r="A52" s="0"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2026-08-10T12:35:42Z</dcterms:created>
  <dc:creator>openpyxl</dc:creator>
  <dc:description/>
  <dc:language>en-US</dc:language>
  <cp:lastModifiedBy>John Godek</cp:lastModifiedBy>
  <dcterms:modified xsi:type="dcterms:W3CDTF">2026-10-26T17:52:35Z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